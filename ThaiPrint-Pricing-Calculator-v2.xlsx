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Quotation" sheetId="2" state="visible" r:id="rId2"/>
    <sheet name="Machines" sheetId="3" state="visible" r:id="rId3"/>
    <sheet name="PrintCost" sheetId="4" state="visible" r:id="rId4"/>
    <sheet name="Spoilage" sheetId="5" state="visible" r:id="rId5"/>
    <sheet name="PaperPrice" sheetId="6" state="visible" r:id="rId6"/>
    <sheet name="PaperCutting" sheetId="7" state="visible" r:id="rId7"/>
    <sheet name="QuickSelec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฿&quot;#,##0.00"/>
    <numFmt numFmtId="165" formatCode="dd/mm/yyyy"/>
  </numFmts>
  <fonts count="11">
    <font>
      <name val="Calibri"/>
      <family val="2"/>
      <color theme="1"/>
      <sz val="11"/>
      <scheme val="minor"/>
    </font>
    <font>
      <name val="TH SarabunPSK"/>
      <b val="1"/>
      <color rgb="00FFFFFF"/>
      <sz val="14"/>
    </font>
    <font>
      <name val="TH SarabunPSK"/>
      <b val="1"/>
      <sz val="14"/>
    </font>
    <font>
      <name val="TH SarabunPSK"/>
      <sz val="14"/>
    </font>
    <font>
      <name val="TH SarabunPSK"/>
      <sz val="12"/>
    </font>
    <font>
      <name val="TH SarabunPSK"/>
      <b val="1"/>
      <color rgb="00006100"/>
      <sz val="18"/>
    </font>
    <font>
      <name val="TH SarabunPSK"/>
      <b val="1"/>
      <color rgb="001F4E79"/>
      <sz val="20"/>
    </font>
    <font>
      <name val="TH SarabunPSK"/>
      <i val="1"/>
      <sz val="12"/>
    </font>
    <font>
      <name val="TH SarabunPSK"/>
      <b val="1"/>
      <sz val="18"/>
    </font>
    <font>
      <name val="TH SarabunPSK"/>
      <b val="1"/>
      <sz val="16"/>
    </font>
    <font>
      <name val="TH SarabunPSK"/>
      <b val="1"/>
      <color rgb="00006100"/>
      <sz val="16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2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0" fillId="0" borderId="0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1" t="inlineStr">
        <is>
          <t>ระบบคำนวณราคาใบพิมพ์ — ThaiPrint v2 (Datasheet 2025)</t>
        </is>
      </c>
    </row>
    <row r="2">
      <c r="A2" s="14" t="inlineStr">
        <is>
          <t>🟡 ช่องเหลือง = กรอก  |  🟢 ช่องเขียว = ผลคำนวณ  |  🔴 = เตือน  |  Datasheet 2025: 13 เครื่อง + Spoilage 6 แบบ</t>
        </is>
      </c>
    </row>
    <row r="4">
      <c r="A4" s="2" t="inlineStr">
        <is>
          <t>ข้อมูลงาน (กรอกที่ช่องสีเหลือง)</t>
        </is>
      </c>
    </row>
    <row r="5">
      <c r="A5" s="9" t="inlineStr">
        <is>
          <t>ชื่องาน</t>
        </is>
      </c>
      <c r="B5" s="15" t="inlineStr">
        <is>
          <t>โบรชัวร์ A4 4 สี</t>
        </is>
      </c>
      <c r="C5" s="16" t="n"/>
      <c r="D5" s="16" t="n"/>
      <c r="E5" s="17" t="n"/>
    </row>
    <row r="6">
      <c r="A6" s="9" t="inlineStr">
        <is>
          <t>ขนาดชิ้นงาน — กว้าง (ซม.)</t>
        </is>
      </c>
      <c r="B6" s="15" t="n">
        <v>21</v>
      </c>
      <c r="C6" s="16" t="n"/>
      <c r="D6" s="16" t="n"/>
      <c r="E6" s="17" t="n"/>
    </row>
    <row r="7">
      <c r="A7" s="9" t="inlineStr">
        <is>
          <t>ขนาดชิ้นงาน — ยาว (ซม.)</t>
        </is>
      </c>
      <c r="B7" s="15" t="n">
        <v>29.7</v>
      </c>
      <c r="C7" s="16" t="n"/>
      <c r="D7" s="16" t="n"/>
      <c r="E7" s="17" t="n"/>
    </row>
    <row r="8">
      <c r="A8" s="9" t="inlineStr">
        <is>
          <t>ขนาดกระดาษ (ใส่เครื่องโดยตรง)</t>
        </is>
      </c>
      <c r="B8" s="15" t="inlineStr">
        <is>
          <t>24x35</t>
        </is>
      </c>
      <c r="C8" s="16" t="n"/>
      <c r="D8" s="16" t="n"/>
      <c r="E8" s="17" t="n"/>
    </row>
    <row r="9">
      <c r="A9" s="9" t="inlineStr">
        <is>
          <t>ชนิดกระดาษ</t>
        </is>
      </c>
      <c r="B9" s="15" t="inlineStr">
        <is>
          <t>อาร์ตมัน/ด้าน</t>
        </is>
      </c>
      <c r="C9" s="16" t="n"/>
      <c r="D9" s="16" t="n"/>
      <c r="E9" s="17" t="n"/>
    </row>
    <row r="10">
      <c r="A10" s="9" t="inlineStr">
        <is>
          <t>แกรม</t>
        </is>
      </c>
      <c r="B10" s="15" t="n">
        <v>128</v>
      </c>
      <c r="C10" s="16" t="n"/>
      <c r="D10" s="16" t="n"/>
      <c r="E10" s="17" t="n"/>
    </row>
    <row r="11">
      <c r="A11" s="9" t="inlineStr">
        <is>
          <t>ราคากระดาษ (บาท/กก.)</t>
        </is>
      </c>
      <c r="B11" s="15" t="n">
        <v>32</v>
      </c>
      <c r="C11" s="16" t="n"/>
      <c r="D11" s="16" t="n"/>
      <c r="E11" s="17" t="n"/>
    </row>
    <row r="12">
      <c r="A12" s="9" t="inlineStr">
        <is>
          <t>เครื่องพิมพ์ (Key)</t>
        </is>
      </c>
      <c r="B12" s="15" t="inlineStr">
        <is>
          <t>heidelberg_cd102</t>
        </is>
      </c>
      <c r="C12" s="16" t="n"/>
      <c r="D12" s="16" t="n"/>
      <c r="E12" s="17" t="n"/>
    </row>
    <row r="13">
      <c r="A13" s="9" t="inlineStr">
        <is>
          <t>จำนวนพิมพ์ (ชิ้น)</t>
        </is>
      </c>
      <c r="B13" s="15" t="n">
        <v>1000</v>
      </c>
      <c r="C13" s="16" t="n"/>
      <c r="D13" s="16" t="n"/>
      <c r="E13" s="17" t="n"/>
    </row>
    <row r="14">
      <c r="A14" s="9" t="inlineStr">
        <is>
          <t>จำนวนสี</t>
        </is>
      </c>
      <c r="B14" s="15" t="n">
        <v>4</v>
      </c>
      <c r="C14" s="16" t="n"/>
      <c r="D14" s="16" t="n"/>
      <c r="E14" s="17" t="n"/>
    </row>
    <row r="15">
      <c r="A15" s="9" t="inlineStr">
        <is>
          <t>ประเภทงาน (Spoilage)</t>
        </is>
      </c>
      <c r="B15" s="15" t="inlineStr">
        <is>
          <t>fourColorRepeat</t>
        </is>
      </c>
      <c r="C15" s="16" t="n"/>
      <c r="D15" s="16" t="n"/>
      <c r="E15" s="17" t="n"/>
    </row>
    <row r="16">
      <c r="A16" s="9" t="inlineStr">
        <is>
          <t>ประเภทหมึก</t>
        </is>
      </c>
      <c r="B16" s="15" t="inlineStr">
        <is>
          <t>Conventional</t>
        </is>
      </c>
      <c r="C16" s="16" t="n"/>
      <c r="D16" s="16" t="n"/>
      <c r="E16" s="17" t="n"/>
    </row>
    <row r="17">
      <c r="A17" s="9" t="inlineStr">
        <is>
          <t>วิธีพิมพ์</t>
        </is>
      </c>
      <c r="B17" s="15" t="inlineStr">
        <is>
          <t>Sheetwise</t>
        </is>
      </c>
      <c r="C17" s="16" t="n"/>
      <c r="D17" s="16" t="n"/>
      <c r="E17" s="17" t="n"/>
    </row>
    <row r="18">
      <c r="A18" s="9" t="inlineStr">
        <is>
          <t>Plate Cost Mode</t>
        </is>
      </c>
      <c r="B18" s="15" t="inlineStr">
        <is>
          <t>Legacy</t>
        </is>
      </c>
      <c r="C18" s="16" t="n"/>
      <c r="D18" s="16" t="n"/>
      <c r="E18" s="17" t="n"/>
    </row>
    <row r="19">
      <c r="A19" s="9" t="inlineStr">
        <is>
          <t>Gripper Margin (มม., 10–15)</t>
        </is>
      </c>
      <c r="B19" s="15" t="n">
        <v>12</v>
      </c>
      <c r="C19" s="16" t="n"/>
      <c r="D19" s="16" t="n"/>
      <c r="E19" s="17" t="n"/>
    </row>
    <row r="20">
      <c r="A20" s="9" t="inlineStr">
        <is>
          <t>Side Lay (มม., 5–10)</t>
        </is>
      </c>
      <c r="B20" s="15" t="n">
        <v>7</v>
      </c>
      <c r="C20" s="16" t="n"/>
      <c r="D20" s="16" t="n"/>
      <c r="E20" s="17" t="n"/>
    </row>
    <row r="21">
      <c r="A21" s="9" t="inlineStr">
        <is>
          <t>Perfecting Modifier (%, 2–3, ใช้เมื่อ Perfector)</t>
        </is>
      </c>
      <c r="B21" s="15" t="n">
        <v>2.5</v>
      </c>
      <c r="C21" s="16" t="n"/>
      <c r="D21" s="16" t="n"/>
      <c r="E21" s="17" t="n"/>
    </row>
    <row r="23">
      <c r="A23" s="2" t="inlineStr">
        <is>
          <t>ค่าที่ค้นจากตาราง (อัตโนมัติ)</t>
        </is>
      </c>
    </row>
    <row r="24">
      <c r="A24" s="3" t="inlineStr">
        <is>
          <t>Sheet Width (ซม.)</t>
        </is>
      </c>
      <c r="B24" s="3">
        <f>IF(B8="31x43",78.74,IF(B8="25x36",63.5,IF(B8="24x35",60.96,IF(B8="19x25",48.26,B6))))</f>
        <v/>
      </c>
      <c r="C24" s="16" t="n"/>
      <c r="D24" s="16" t="n"/>
      <c r="E24" s="17" t="n"/>
    </row>
    <row r="25">
      <c r="A25" s="3" t="inlineStr">
        <is>
          <t>Sheet Height (ซม.)</t>
        </is>
      </c>
      <c r="B25" s="3">
        <f>IF(B8="31x43",109.22,IF(B8="25x36",91.44,IF(B8="24x35",88.9,IF(B8="19x25",63.5,B7))))</f>
        <v/>
      </c>
      <c r="C25" s="16" t="n"/>
      <c r="D25" s="16" t="n"/>
      <c r="E25" s="17" t="n"/>
    </row>
    <row r="26">
      <c r="A26" s="3" t="inlineStr">
        <is>
          <t>Machine Name</t>
        </is>
      </c>
      <c r="B26" s="3">
        <f>VLOOKUP(B12,Machines!A3:I15,2,FALSE)</f>
        <v/>
      </c>
      <c r="C26" s="16" t="n"/>
      <c r="D26" s="16" t="n"/>
      <c r="E26" s="17" t="n"/>
    </row>
    <row r="27">
      <c r="A27" s="3" t="inlineStr">
        <is>
          <t>Machine Min W (ซม.)</t>
        </is>
      </c>
      <c r="B27" s="3">
        <f>VLOOKUP(B12,Machines!A3:I15,3,FALSE)</f>
        <v/>
      </c>
      <c r="C27" s="16" t="n"/>
      <c r="D27" s="16" t="n"/>
      <c r="E27" s="17" t="n"/>
    </row>
    <row r="28">
      <c r="A28" s="3" t="inlineStr">
        <is>
          <t>Machine Min H (ซม.)</t>
        </is>
      </c>
      <c r="B28" s="3">
        <f>VLOOKUP(B12,Machines!A3:I15,4,FALSE)</f>
        <v/>
      </c>
      <c r="C28" s="16" t="n"/>
      <c r="D28" s="16" t="n"/>
      <c r="E28" s="17" t="n"/>
    </row>
    <row r="29">
      <c r="A29" s="3" t="inlineStr">
        <is>
          <t>Machine Max W (ซม.)</t>
        </is>
      </c>
      <c r="B29" s="3">
        <f>VLOOKUP(B12,Machines!A3:I15,5,FALSE)</f>
        <v/>
      </c>
      <c r="C29" s="16" t="n"/>
      <c r="D29" s="16" t="n"/>
      <c r="E29" s="17" t="n"/>
    </row>
    <row r="30">
      <c r="A30" s="3" t="inlineStr">
        <is>
          <t>Machine Max H (ซม.)</t>
        </is>
      </c>
      <c r="B30" s="3">
        <f>VLOOKUP(B12,Machines!A3:I15,6,FALSE)</f>
        <v/>
      </c>
      <c r="C30" s="16" t="n"/>
      <c r="D30" s="16" t="n"/>
      <c r="E30" s="17" t="n"/>
    </row>
    <row r="31">
      <c r="A31" s="3" t="inlineStr">
        <is>
          <t>Plate Size</t>
        </is>
      </c>
      <c r="B31" s="3">
        <f>VLOOKUP(B12,Machines!A3:I15,7,FALSE)</f>
        <v/>
      </c>
      <c r="C31" s="16" t="n"/>
      <c r="D31" s="16" t="n"/>
      <c r="E31" s="17" t="n"/>
    </row>
    <row r="32">
      <c r="A32" s="3" t="inlineStr">
        <is>
          <t>ค่าเพลท/สี (เลือก mode)</t>
        </is>
      </c>
      <c r="B32" s="3">
        <f>IF(B18="Datasheet2025",VLOOKUP(B12,Machines!A3:I15,9,FALSE),VLOOKUP(B12,Machines!A3:I15,8,FALSE))</f>
        <v/>
      </c>
      <c r="C32" s="16" t="n"/>
      <c r="D32" s="16" t="n"/>
      <c r="E32" s="17" t="n"/>
    </row>
    <row r="33">
      <c r="A33" s="3" t="inlineStr">
        <is>
          <t>Plate Class (normalized)</t>
        </is>
      </c>
      <c r="B33" s="3">
        <f>IF(ISNUMBER(SEARCH("ตัด 4",B31)),"ตัด 4",IF(ISNUMBER(SEARCH("ตัด 2",B31)),"ตัด 2",IF(ISNUMBER(SEARCH("ตัด 1",B31)),"ตัด 2",IF(ISNUMBER(SEARCH("ตัด 8",B31)),"ตัด 4","ตัด 4"))))</f>
        <v/>
      </c>
      <c r="C33" s="16" t="n"/>
      <c r="D33" s="16" t="n"/>
      <c r="E33" s="17" t="n"/>
    </row>
    <row r="34">
      <c r="A34" s="3" t="inlineStr">
        <is>
          <t>Spoilage Rate (%)</t>
        </is>
      </c>
      <c r="B34" s="3">
        <f>IF(B15="oneColorRepeat",3,IF(B15="twoColorGeneral",5,IF(B15="fourColorRepeat",8,IF(B15="fourColorFirst",10,IF(B15="uvOrPantone",10,IF(B15="specialPaper",15,5))))))</f>
        <v/>
      </c>
      <c r="C34" s="16" t="n"/>
      <c r="D34" s="16" t="n"/>
      <c r="E34" s="17" t="n"/>
    </row>
    <row r="35">
      <c r="A35" s="3" t="inlineStr">
        <is>
          <t>Spoilage Min (ใบ)</t>
        </is>
      </c>
      <c r="B35" s="3">
        <f>IF(B15="oneColorRepeat",50,IF(B15="twoColorGeneral",100,IF(B15="fourColorRepeat",100,IF(B15="fourColorFirst",150,IF(B15="uvOrPantone",100,IF(B15="specialPaper",150,100))))))</f>
        <v/>
      </c>
      <c r="C35" s="16" t="n"/>
      <c r="D35" s="16" t="n"/>
      <c r="E35" s="17" t="n"/>
    </row>
    <row r="36">
      <c r="A36" s="3" t="inlineStr">
        <is>
          <t>Effective Rate (+Perfecting)</t>
        </is>
      </c>
      <c r="B36" s="3">
        <f>B34+IF(B17="Perfector",B21,0)</f>
        <v/>
      </c>
      <c r="C36" s="16" t="n"/>
      <c r="D36" s="16" t="n"/>
      <c r="E36" s="17" t="n"/>
    </row>
    <row r="37">
      <c r="A37" s="3" t="inlineStr">
        <is>
          <t>ตรวจกระดาษเข้าเครื่อง</t>
        </is>
      </c>
      <c r="B37" s="3">
        <f>IF(OR(AND(B24&gt;=B27,B24&lt;=B29,B25&gt;=B28,B25&lt;=B30),AND(B25&gt;=B27,B25&lt;=B29,B24&gt;=B28,B24&lt;=B30)),"✅ เข้าได้",IF(OR(B24&gt;B29,B25&gt;B29),"⚠️ ใหญ่เกิน","⚠️ เล็กเกิน"))</f>
        <v/>
      </c>
      <c r="C37" s="16" t="n"/>
      <c r="D37" s="16" t="n"/>
      <c r="E37" s="17" t="n"/>
    </row>
    <row r="38">
      <c r="A38" s="3" t="inlineStr">
        <is>
          <t>หมายเหตุ Print Cost</t>
        </is>
      </c>
      <c r="B38" s="3">
        <f>IF(OR(ISNUMBER(SEARCH("ตัด 1",B31)),ISNUMBER(SEARCH("ตัด 8",B31))),"⚠️ ใช้อัตรา "&amp;B33&amp;" (ประมาณ)","")</f>
        <v/>
      </c>
      <c r="C38" s="16" t="n"/>
      <c r="D38" s="16" t="n"/>
      <c r="E38" s="17" t="n"/>
    </row>
    <row r="40">
      <c r="A40" s="2" t="inlineStr">
        <is>
          <t>ผลคำนวณ (อัตโนมัติ)</t>
        </is>
      </c>
    </row>
    <row r="41">
      <c r="A41" s="3" t="inlineStr">
        <is>
          <t>Gripper (ซม.)</t>
        </is>
      </c>
      <c r="B41" s="18">
        <f>B19/10</f>
        <v/>
      </c>
      <c r="C41" s="16" t="n"/>
      <c r="D41" s="16" t="n"/>
      <c r="E41" s="17" t="n"/>
    </row>
    <row r="42">
      <c r="A42" s="3" t="inlineStr">
        <is>
          <t>Side Lay (ซม.)</t>
        </is>
      </c>
      <c r="B42" s="18">
        <f>B20/10</f>
        <v/>
      </c>
      <c r="C42" s="16" t="n"/>
      <c r="D42" s="16" t="n"/>
      <c r="E42" s="17" t="n"/>
    </row>
    <row r="43">
      <c r="A43" s="3" t="inlineStr">
        <is>
          <t>Bleed รวม (ซม.)</t>
        </is>
      </c>
      <c r="B43" s="18">
        <f>0.6</f>
        <v/>
      </c>
      <c r="C43" s="16" t="n"/>
      <c r="D43" s="16" t="n"/>
      <c r="E43" s="17" t="n"/>
    </row>
    <row r="44">
      <c r="A44" s="3" t="inlineStr">
        <is>
          <t>พื้นที่พิมพ์ — กว้าง</t>
        </is>
      </c>
      <c r="B44" s="18">
        <f>B24-B41</f>
        <v/>
      </c>
      <c r="C44" s="16" t="n"/>
      <c r="D44" s="16" t="n"/>
      <c r="E44" s="17" t="n"/>
    </row>
    <row r="45">
      <c r="A45" s="3" t="inlineStr">
        <is>
          <t>พื้นที่พิมพ์ — ยาว</t>
        </is>
      </c>
      <c r="B45" s="18">
        <f>B25-B42</f>
        <v/>
      </c>
      <c r="C45" s="16" t="n"/>
      <c r="D45" s="16" t="n"/>
      <c r="E45" s="17" t="n"/>
    </row>
    <row r="46">
      <c r="A46" s="3" t="inlineStr">
        <is>
          <t>ขนาดชิ้น+bleed (กว้าง)</t>
        </is>
      </c>
      <c r="B46" s="18">
        <f>B6+B43</f>
        <v/>
      </c>
      <c r="C46" s="16" t="n"/>
      <c r="D46" s="16" t="n"/>
      <c r="E46" s="17" t="n"/>
    </row>
    <row r="47">
      <c r="A47" s="3" t="inlineStr">
        <is>
          <t>ขนาดชิ้น+bleed (ยาว)</t>
        </is>
      </c>
      <c r="B47" s="18">
        <f>B7+B43</f>
        <v/>
      </c>
      <c r="C47" s="16" t="n"/>
      <c r="D47" s="16" t="n"/>
      <c r="E47" s="17" t="n"/>
    </row>
    <row r="48">
      <c r="A48" s="3" t="inlineStr">
        <is>
          <t>ชิ้น/ใบ — ปกติ</t>
        </is>
      </c>
      <c r="B48" s="19">
        <f>INT(B44/B46)*INT(B45/B47)</f>
        <v/>
      </c>
      <c r="C48" s="16" t="n"/>
      <c r="D48" s="16" t="n"/>
      <c r="E48" s="17" t="n"/>
    </row>
    <row r="49">
      <c r="A49" s="3" t="inlineStr">
        <is>
          <t>ชิ้น/ใบ — หมุน 90°</t>
        </is>
      </c>
      <c r="B49" s="19">
        <f>INT(B44/B47)*INT(B45/B46)</f>
        <v/>
      </c>
      <c r="C49" s="16" t="n"/>
      <c r="D49" s="16" t="n"/>
      <c r="E49" s="17" t="n"/>
    </row>
    <row r="50">
      <c r="A50" s="3" t="inlineStr">
        <is>
          <t>ชิ้น/ใบพิมพ์ (เลือกค่ามาก)</t>
        </is>
      </c>
      <c r="B50" s="19">
        <f>MAX(B48,B49)</f>
        <v/>
      </c>
      <c r="C50" s="16" t="n"/>
      <c r="D50" s="16" t="n"/>
      <c r="E50" s="17" t="n"/>
    </row>
    <row r="51">
      <c r="A51" s="3" t="inlineStr">
        <is>
          <t>ใบพิมพ์ขั้นต่ำ</t>
        </is>
      </c>
      <c r="B51" s="19">
        <f>CEILING(B13/B50,1)</f>
        <v/>
      </c>
      <c r="C51" s="16" t="n"/>
      <c r="D51" s="16" t="n"/>
      <c r="E51" s="17" t="n"/>
    </row>
    <row r="52">
      <c r="A52" s="3" t="inlineStr">
        <is>
          <t>Spoilage แบบคำนวณ %</t>
        </is>
      </c>
      <c r="B52" s="19">
        <f>CEILING(B51*B36/100,1)</f>
        <v/>
      </c>
      <c r="C52" s="16" t="n"/>
      <c r="D52" s="16" t="n"/>
      <c r="E52" s="17" t="n"/>
    </row>
    <row r="53">
      <c r="A53" s="3" t="inlineStr">
        <is>
          <t>Spoilage จริง (ขั้นต่ำ Profile)</t>
        </is>
      </c>
      <c r="B53" s="19">
        <f>MAX(B52,B35)</f>
        <v/>
      </c>
      <c r="C53" s="16" t="n"/>
      <c r="D53" s="16" t="n"/>
      <c r="E53" s="17" t="n"/>
    </row>
    <row r="54">
      <c r="A54" s="3" t="inlineStr">
        <is>
          <t>หมายเหตุ Spoilage</t>
        </is>
      </c>
      <c r="B54" s="20">
        <f>IF(B52&lt;B35,"⚠️ ใช้ขั้นต่ำ "&amp;B35&amp;" ใบ ตาม profile","")</f>
        <v/>
      </c>
      <c r="C54" s="16" t="n"/>
      <c r="D54" s="16" t="n"/>
      <c r="E54" s="17" t="n"/>
    </row>
    <row r="55">
      <c r="A55" s="3" t="inlineStr">
        <is>
          <t>ใบพิมพ์รวม (Total Sheets)</t>
        </is>
      </c>
      <c r="B55" s="19">
        <f>B51+B53</f>
        <v/>
      </c>
      <c r="C55" s="16" t="n"/>
      <c r="D55" s="16" t="n"/>
      <c r="E55" s="17" t="n"/>
    </row>
    <row r="56">
      <c r="A56" s="3" t="inlineStr">
        <is>
          <t>Plate Sets</t>
        </is>
      </c>
      <c r="B56" s="19">
        <f>IF(B17="Sheetwise",2,1)</f>
        <v/>
      </c>
      <c r="C56" s="16" t="n"/>
      <c r="D56" s="16" t="n"/>
      <c r="E56" s="17" t="n"/>
    </row>
    <row r="57">
      <c r="A57" s="3" t="inlineStr">
        <is>
          <t>ค่าเพลทรวม</t>
        </is>
      </c>
      <c r="B57" s="7">
        <f>B32*B14*B56</f>
        <v/>
      </c>
      <c r="C57" s="16" t="n"/>
      <c r="D57" s="16" t="n"/>
      <c r="E57" s="17" t="n"/>
    </row>
    <row r="58">
      <c r="A58" s="3" t="inlineStr">
        <is>
          <t>Flat Rate (เหมา)</t>
        </is>
      </c>
      <c r="B58" s="19">
        <f>IF(B33="ตัด 4",IF(B16="UV",1500,900),IF(B16="UV",2000,1200))</f>
        <v/>
      </c>
      <c r="C58" s="16" t="n"/>
      <c r="D58" s="16" t="n"/>
      <c r="E58" s="17" t="n"/>
    </row>
    <row r="59">
      <c r="A59" s="3" t="inlineStr">
        <is>
          <t>Tier ขอบบน</t>
        </is>
      </c>
      <c r="B59" s="19">
        <f>IF(B33="ตัด 4",IF(B16="UV",1000,10000),10000)</f>
        <v/>
      </c>
      <c r="C59" s="16" t="n"/>
      <c r="D59" s="16" t="n"/>
      <c r="E59" s="17" t="n"/>
    </row>
    <row r="60">
      <c r="A60" s="3" t="inlineStr">
        <is>
          <t>Overage (บาท/ใบ/สี)</t>
        </is>
      </c>
      <c r="B60" s="18">
        <f>IF(B33="ตัด 4",IF(B16="UV",1,0.10),IF(B16="UV",1.5,0.20))</f>
        <v/>
      </c>
      <c r="C60" s="16" t="n"/>
      <c r="D60" s="16" t="n"/>
      <c r="E60" s="17" t="n"/>
    </row>
    <row r="61">
      <c r="A61" s="3" t="inlineStr">
        <is>
          <t>ส่วนเกิน (ใบ)</t>
        </is>
      </c>
      <c r="B61" s="19">
        <f>MAX(B55-B59,0)</f>
        <v/>
      </c>
      <c r="C61" s="16" t="n"/>
      <c r="D61" s="16" t="n"/>
      <c r="E61" s="17" t="n"/>
    </row>
    <row r="62">
      <c r="A62" s="3" t="inlineStr">
        <is>
          <t>ค่าพิมพ์ก่อน multiplier</t>
        </is>
      </c>
      <c r="B62" s="7">
        <f>B58*B14+B61*B60*B14</f>
        <v/>
      </c>
      <c r="C62" s="16" t="n"/>
      <c r="D62" s="16" t="n"/>
      <c r="E62" s="17" t="n"/>
    </row>
    <row r="63">
      <c r="A63" s="3" t="inlineStr">
        <is>
          <t>Print Method × (Sheetwise=2)</t>
        </is>
      </c>
      <c r="B63" s="19">
        <f>IF(B17="Sheetwise",2,1)</f>
        <v/>
      </c>
      <c r="C63" s="16" t="n"/>
      <c r="D63" s="16" t="n"/>
      <c r="E63" s="17" t="n"/>
    </row>
    <row r="64">
      <c r="A64" s="3" t="inlineStr">
        <is>
          <t>ค่าพิมพ์รวม</t>
        </is>
      </c>
      <c r="B64" s="7">
        <f>B62*B63</f>
        <v/>
      </c>
      <c r="C64" s="16" t="n"/>
      <c r="D64" s="16" t="n"/>
      <c r="E64" s="17" t="n"/>
    </row>
    <row r="65">
      <c r="A65" s="3" t="inlineStr">
        <is>
          <t>น้ำหนักต่อใบ (กรัม)</t>
        </is>
      </c>
      <c r="B65" s="7">
        <f>(B24*B25*B10)/10000</f>
        <v/>
      </c>
      <c r="C65" s="16" t="n"/>
      <c r="D65" s="16" t="n"/>
      <c r="E65" s="17" t="n"/>
    </row>
    <row r="66">
      <c r="A66" s="3" t="inlineStr">
        <is>
          <t>น้ำหนักรวม (กก.)</t>
        </is>
      </c>
      <c r="B66" s="7">
        <f>B65*B55/1000</f>
        <v/>
      </c>
      <c r="C66" s="16" t="n"/>
      <c r="D66" s="16" t="n"/>
      <c r="E66" s="17" t="n"/>
    </row>
    <row r="67">
      <c r="A67" s="3" t="inlineStr">
        <is>
          <t>ต้นทุนกระดาษ</t>
        </is>
      </c>
      <c r="B67" s="7">
        <f>B66*B11</f>
        <v/>
      </c>
      <c r="C67" s="16" t="n"/>
      <c r="D67" s="16" t="n"/>
      <c r="E67" s="17" t="n"/>
    </row>
    <row r="68">
      <c r="A68" s="3" t="inlineStr">
        <is>
          <t>ราคาขายกระดาษ (+20%)</t>
        </is>
      </c>
      <c r="B68" s="7">
        <f>B67*1.2</f>
        <v/>
      </c>
      <c r="C68" s="16" t="n"/>
      <c r="D68" s="16" t="n"/>
      <c r="E68" s="17" t="n"/>
    </row>
    <row r="70">
      <c r="A70" s="2" t="inlineStr">
        <is>
          <t>สรุปราคารวม</t>
        </is>
      </c>
    </row>
    <row r="71" ht="32" customHeight="1">
      <c r="A71" s="9" t="inlineStr">
        <is>
          <t>ราคารวมทั้งหมด (ค่าเพลท + ค่ากระดาษขาย + ค่าพิมพ์)</t>
        </is>
      </c>
      <c r="B71" s="21">
        <f>B57+B68+B64</f>
        <v/>
      </c>
      <c r="C71" s="16" t="n"/>
      <c r="D71" s="16" t="n"/>
      <c r="E71" s="17" t="n"/>
    </row>
    <row r="72">
      <c r="A72" s="9" t="inlineStr">
        <is>
          <t>ราคาต่อชิ้น</t>
        </is>
      </c>
      <c r="B72" s="22">
        <f>B71/B13</f>
        <v/>
      </c>
      <c r="C72" s="16" t="n"/>
      <c r="D72" s="16" t="n"/>
      <c r="E72" s="17" t="n"/>
    </row>
    <row r="74">
      <c r="A74" s="2" t="inlineStr">
        <is>
          <t>💡 คำแนะนำ Quick Select</t>
        </is>
      </c>
    </row>
    <row r="75">
      <c r="A75" s="3" t="inlineStr">
        <is>
          <t>วิธีพิมพ์แนะนำ</t>
        </is>
      </c>
      <c r="B75" s="3">
        <f>IF(B13&lt;500,"Work-and-Turn — จำนวนน้อย ประหยัดเพลท",IF(B13&lt;=2000,"Work-and-Turn — ยังประหยัดได้ชัดเจน",IF(B13&lt;=5000,"Work-and-Turn / Sheetwise — พิจารณาตามคุณภาพ","Sheetwise — Registration ดีกว่า")))</f>
        <v/>
      </c>
      <c r="C75" s="16" t="n"/>
      <c r="D75" s="16" t="n"/>
      <c r="E75" s="17" t="n"/>
    </row>
    <row r="76">
      <c r="A76" s="3" t="inlineStr">
        <is>
          <t>เตือน A4 บน 31×43</t>
        </is>
      </c>
      <c r="B76" s="3">
        <f>IF(AND(B8="31x43",ABS(B6-21)&lt;=1,ABS(B7-29.7)&lt;=1),"⚠️ งาน A4 ไม่ควรใช้ 31×43 — แนะนำ 24×35 หรือ 25×36 (ตัด 8 หรือ 9 ชิ้น)","")</f>
        <v/>
      </c>
      <c r="C76" s="16" t="n"/>
      <c r="D76" s="16" t="n"/>
      <c r="E76" s="17" t="n"/>
    </row>
  </sheetData>
  <mergeCells count="71">
    <mergeCell ref="B9:E9"/>
    <mergeCell ref="B49:E49"/>
    <mergeCell ref="B65:E65"/>
    <mergeCell ref="B37:E37"/>
    <mergeCell ref="B6:E6"/>
    <mergeCell ref="B30:E30"/>
    <mergeCell ref="B68:E68"/>
    <mergeCell ref="B64:E64"/>
    <mergeCell ref="B15:E15"/>
    <mergeCell ref="B33:E33"/>
    <mergeCell ref="A1:E1"/>
    <mergeCell ref="B55:E55"/>
    <mergeCell ref="B24:E24"/>
    <mergeCell ref="B5:E5"/>
    <mergeCell ref="B20:E20"/>
    <mergeCell ref="B51:E51"/>
    <mergeCell ref="A70:E70"/>
    <mergeCell ref="B36:E36"/>
    <mergeCell ref="B32:E32"/>
    <mergeCell ref="B76:E76"/>
    <mergeCell ref="B45:E45"/>
    <mergeCell ref="B26:E26"/>
    <mergeCell ref="B41:E41"/>
    <mergeCell ref="B63:E63"/>
    <mergeCell ref="B35:E35"/>
    <mergeCell ref="B50:E50"/>
    <mergeCell ref="B75:E75"/>
    <mergeCell ref="B16:E16"/>
    <mergeCell ref="B54:E54"/>
    <mergeCell ref="B62:E62"/>
    <mergeCell ref="B7:E7"/>
    <mergeCell ref="B25:E25"/>
    <mergeCell ref="B72:E72"/>
    <mergeCell ref="B47:E47"/>
    <mergeCell ref="B59:E59"/>
    <mergeCell ref="A74:E74"/>
    <mergeCell ref="B46:E46"/>
    <mergeCell ref="B66:E66"/>
    <mergeCell ref="B31:E31"/>
    <mergeCell ref="B18:E18"/>
    <mergeCell ref="B27:E27"/>
    <mergeCell ref="B56:E56"/>
    <mergeCell ref="B71:E71"/>
    <mergeCell ref="A2:E2"/>
    <mergeCell ref="B43:E43"/>
    <mergeCell ref="B12:E12"/>
    <mergeCell ref="B58:E58"/>
    <mergeCell ref="B52:E52"/>
    <mergeCell ref="B21:E21"/>
    <mergeCell ref="B48:E48"/>
    <mergeCell ref="B11:E11"/>
    <mergeCell ref="A23:E23"/>
    <mergeCell ref="B42:E42"/>
    <mergeCell ref="B14:E14"/>
    <mergeCell ref="B60:E60"/>
    <mergeCell ref="B67:E67"/>
    <mergeCell ref="B17:E17"/>
    <mergeCell ref="B61:E61"/>
    <mergeCell ref="A4:E4"/>
    <mergeCell ref="B8:E8"/>
    <mergeCell ref="B57:E57"/>
    <mergeCell ref="B53:E53"/>
    <mergeCell ref="B13:E13"/>
    <mergeCell ref="B38:E38"/>
    <mergeCell ref="B44:E44"/>
    <mergeCell ref="B29:E29"/>
    <mergeCell ref="B19:E19"/>
    <mergeCell ref="B34:E34"/>
    <mergeCell ref="B10:E10"/>
    <mergeCell ref="B28:E28"/>
    <mergeCell ref="A40:E40"/>
  </mergeCells>
  <conditionalFormatting sqref="B37">
    <cfRule type="expression" priority="1" dxfId="0">
      <formula>ISNUMBER(SEARCH("⚠️",B37))</formula>
    </cfRule>
  </conditionalFormatting>
  <conditionalFormatting sqref="B38">
    <cfRule type="expression" priority="2" dxfId="0">
      <formula>ISNUMBER(SEARCH("⚠️",B38))</formula>
    </cfRule>
  </conditionalFormatting>
  <conditionalFormatting sqref="B54">
    <cfRule type="expression" priority="3" dxfId="0">
      <formula>ISNUMBER(SEARCH("⚠️",B54))</formula>
    </cfRule>
  </conditionalFormatting>
  <conditionalFormatting sqref="B76">
    <cfRule type="expression" priority="4" dxfId="0">
      <formula>ISNUMBER(SEARCH("⚠️",B76))</formula>
    </cfRule>
  </conditionalFormatting>
  <dataValidations count="6">
    <dataValidation sqref="B8" showDropDown="0" showInputMessage="0" showErrorMessage="0" allowBlank="0" type="list">
      <formula1>"31x43,25x36,24x35,19x25,custom"</formula1>
    </dataValidation>
    <dataValidation sqref="B12" showDropDown="0" showInputMessage="0" showErrorMessage="0" allowBlank="0" type="list">
      <formula1>"heidelberg_gto46,heidelberg_sm52,heidelberg_gto52,heidelberg_mo,heidelberg_movp,heidelberg_sx52,heidelberg_sm74,heidelberg_sx74,heidelberg_xl75,heidelberg_cd102,heidelberg_sx102,heidelberg_xl106,komori_s40"</formula1>
    </dataValidation>
    <dataValidation sqref="B15" showDropDown="0" showInputMessage="0" showErrorMessage="0" allowBlank="0" type="list">
      <formula1>"oneColorRepeat,twoColorGeneral,fourColorRepeat,fourColorFirst,uvOrPantone,specialPaper"</formula1>
    </dataValidation>
    <dataValidation sqref="B16" showDropDown="0" showInputMessage="0" showErrorMessage="0" allowBlank="0" type="list">
      <formula1>"Conventional,UV"</formula1>
    </dataValidation>
    <dataValidation sqref="B17" showDropDown="0" showInputMessage="0" showErrorMessage="0" allowBlank="0" type="list">
      <formula1>"Single,Sheetwise,Work-and-Turn,Work-and-Tumble,Perfector"</formula1>
    </dataValidation>
    <dataValidation sqref="B18" showDropDown="0" showInputMessage="0" showErrorMessage="0" allowBlank="0" type="list">
      <formula1>"Legacy,Datasheet2025"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18" customWidth="1" min="5" max="5"/>
  </cols>
  <sheetData>
    <row r="1" ht="30" customHeight="1">
      <c r="A1" s="23" t="inlineStr">
        <is>
          <t>บริษัท ไทยพริ้นท์ อินเตอร์กรุ๊ป จำกัด</t>
        </is>
      </c>
    </row>
    <row r="2">
      <c r="A2" s="24" t="inlineStr">
        <is>
          <t>ThaiPrint Intergroup Co., Ltd.</t>
        </is>
      </c>
    </row>
    <row r="4" ht="28" customHeight="1">
      <c r="A4" s="25" t="inlineStr">
        <is>
          <t>ใบเสนอราคา / QUOTATION</t>
        </is>
      </c>
    </row>
    <row r="6">
      <c r="A6" s="26" t="inlineStr">
        <is>
          <t>ลูกค้า:</t>
        </is>
      </c>
      <c r="B6" t="inlineStr">
        <is>
          <t>________________________</t>
        </is>
      </c>
      <c r="D6" s="26" t="inlineStr">
        <is>
          <t>วันที่:</t>
        </is>
      </c>
      <c r="E6" s="27">
        <f>TODAY()</f>
        <v/>
      </c>
    </row>
    <row r="7">
      <c r="A7" s="26" t="inlineStr">
        <is>
          <t>ที่อยู่:</t>
        </is>
      </c>
      <c r="B7" t="inlineStr">
        <is>
          <t>________________________</t>
        </is>
      </c>
      <c r="D7" s="26" t="inlineStr">
        <is>
          <t>เลขที่:</t>
        </is>
      </c>
      <c r="E7" t="inlineStr">
        <is>
          <t>QT-2026-_____</t>
        </is>
      </c>
    </row>
    <row r="8">
      <c r="A8" s="26" t="inlineStr">
        <is>
          <t>โทร:</t>
        </is>
      </c>
      <c r="B8" t="inlineStr">
        <is>
          <t>________________________</t>
        </is>
      </c>
    </row>
    <row r="10">
      <c r="A10" s="2" t="inlineStr">
        <is>
          <t>รายละเอียดงาน</t>
        </is>
      </c>
    </row>
    <row r="11">
      <c r="A11" s="9" t="inlineStr">
        <is>
          <t>ชื่องาน</t>
        </is>
      </c>
      <c r="B11" s="3">
        <f>Calculator!B5</f>
        <v/>
      </c>
      <c r="C11" s="16" t="n"/>
      <c r="D11" s="16" t="n"/>
      <c r="E11" s="17" t="n"/>
    </row>
    <row r="12">
      <c r="A12" s="9" t="inlineStr">
        <is>
          <t>ขนาดชิ้นงาน</t>
        </is>
      </c>
      <c r="B12" s="3">
        <f>"กว้าง "&amp;Calculator!B6&amp;" × ยาว "&amp;Calculator!B7&amp;" ซม."</f>
        <v/>
      </c>
      <c r="C12" s="16" t="n"/>
      <c r="D12" s="16" t="n"/>
      <c r="E12" s="17" t="n"/>
    </row>
    <row r="13">
      <c r="A13" s="9" t="inlineStr">
        <is>
          <t>จำนวน</t>
        </is>
      </c>
      <c r="B13" s="3">
        <f>Calculator!B13&amp;" ชิ้น"</f>
        <v/>
      </c>
      <c r="C13" s="16" t="n"/>
      <c r="D13" s="16" t="n"/>
      <c r="E13" s="17" t="n"/>
    </row>
    <row r="14">
      <c r="A14" s="9" t="inlineStr">
        <is>
          <t>จำนวนสี</t>
        </is>
      </c>
      <c r="B14" s="3">
        <f>Calculator!B14&amp;" สี"</f>
        <v/>
      </c>
      <c r="C14" s="16" t="n"/>
      <c r="D14" s="16" t="n"/>
      <c r="E14" s="17" t="n"/>
    </row>
    <row r="15">
      <c r="A15" s="9" t="inlineStr">
        <is>
          <t>ประเภทกระดาษ</t>
        </is>
      </c>
      <c r="B15" s="3">
        <f>Calculator!B9&amp;" "&amp;Calculator!B10&amp;" แกรม"</f>
        <v/>
      </c>
      <c r="C15" s="16" t="n"/>
      <c r="D15" s="16" t="n"/>
      <c r="E15" s="17" t="n"/>
    </row>
    <row r="16">
      <c r="A16" s="9" t="inlineStr">
        <is>
          <t>ขนาดกระดาษ</t>
        </is>
      </c>
      <c r="B16" s="3">
        <f>Calculator!B8&amp;" (ใส่เครื่อง)"</f>
        <v/>
      </c>
      <c r="C16" s="16" t="n"/>
      <c r="D16" s="16" t="n"/>
      <c r="E16" s="17" t="n"/>
    </row>
    <row r="17">
      <c r="A17" s="9" t="inlineStr">
        <is>
          <t>เครื่องพิมพ์</t>
        </is>
      </c>
      <c r="B17" s="3">
        <f>Calculator!B26</f>
        <v/>
      </c>
      <c r="C17" s="16" t="n"/>
      <c r="D17" s="16" t="n"/>
      <c r="E17" s="17" t="n"/>
    </row>
    <row r="18">
      <c r="A18" s="9" t="inlineStr">
        <is>
          <t>ประเภทหมึก</t>
        </is>
      </c>
      <c r="B18" s="3">
        <f>Calculator!B16</f>
        <v/>
      </c>
      <c r="C18" s="16" t="n"/>
      <c r="D18" s="16" t="n"/>
      <c r="E18" s="17" t="n"/>
    </row>
    <row r="19">
      <c r="A19" s="9" t="inlineStr">
        <is>
          <t>วิธีพิมพ์</t>
        </is>
      </c>
      <c r="B19" s="3">
        <f>Calculator!B17</f>
        <v/>
      </c>
      <c r="C19" s="16" t="n"/>
      <c r="D19" s="16" t="n"/>
      <c r="E19" s="17" t="n"/>
    </row>
    <row r="20">
      <c r="A20" s="9" t="inlineStr">
        <is>
          <t>ประเภทงาน</t>
        </is>
      </c>
      <c r="B20" s="3">
        <f>Calculator!B15</f>
        <v/>
      </c>
      <c r="C20" s="16" t="n"/>
      <c r="D20" s="16" t="n"/>
      <c r="E20" s="17" t="n"/>
    </row>
    <row r="22">
      <c r="A22" s="2" t="inlineStr">
        <is>
          <t>รายการต้นทุน</t>
        </is>
      </c>
    </row>
    <row r="23">
      <c r="A23" s="2" t="inlineStr">
        <is>
          <t>ลำดับ</t>
        </is>
      </c>
      <c r="B23" s="2" t="inlineStr">
        <is>
          <t>รายการ</t>
        </is>
      </c>
      <c r="C23" s="2" t="inlineStr">
        <is>
          <t>จำนวน</t>
        </is>
      </c>
      <c r="D23" s="2" t="inlineStr">
        <is>
          <t>หน่วย</t>
        </is>
      </c>
      <c r="E23" s="2" t="inlineStr">
        <is>
          <t>ราคา (บาท)</t>
        </is>
      </c>
    </row>
    <row r="24">
      <c r="A24" s="4" t="inlineStr">
        <is>
          <t>1</t>
        </is>
      </c>
      <c r="B24" s="3" t="inlineStr">
        <is>
          <t>ค่าเพลทพิมพ์</t>
        </is>
      </c>
      <c r="C24" s="19">
        <f>Calculator!B14*Calculator!B56</f>
        <v/>
      </c>
      <c r="D24" s="4" t="inlineStr">
        <is>
          <t>แผ่น</t>
        </is>
      </c>
      <c r="E24" s="7">
        <f>Calculator!B57</f>
        <v/>
      </c>
    </row>
    <row r="25">
      <c r="A25" s="4" t="inlineStr">
        <is>
          <t>2</t>
        </is>
      </c>
      <c r="B25" s="3" t="inlineStr">
        <is>
          <t>ค่ากระดาษ (รวม markup 20%)</t>
        </is>
      </c>
      <c r="C25" s="19">
        <f>Calculator!B55</f>
        <v/>
      </c>
      <c r="D25" s="4" t="inlineStr">
        <is>
          <t>ใบพิมพ์</t>
        </is>
      </c>
      <c r="E25" s="7">
        <f>Calculator!B68</f>
        <v/>
      </c>
    </row>
    <row r="26">
      <c r="A26" s="4" t="inlineStr">
        <is>
          <t>3</t>
        </is>
      </c>
      <c r="B26" s="3" t="inlineStr">
        <is>
          <t>ค่าพิมพ์</t>
        </is>
      </c>
      <c r="C26" s="19">
        <f>Calculator!B55</f>
        <v/>
      </c>
      <c r="D26" s="4" t="inlineStr">
        <is>
          <t>ใบพิมพ์</t>
        </is>
      </c>
      <c r="E26" s="7">
        <f>Calculator!B64</f>
        <v/>
      </c>
    </row>
    <row r="28">
      <c r="A28" s="28" t="n"/>
      <c r="B28" s="29" t="inlineStr">
        <is>
          <t>ยอดรวมต้นทุน</t>
        </is>
      </c>
      <c r="C28" s="16" t="n"/>
      <c r="D28" s="17" t="n"/>
      <c r="E28" s="30">
        <f>SUM(E24:E26)</f>
        <v/>
      </c>
    </row>
    <row r="29" ht="30" customHeight="1">
      <c r="B29" s="31" t="inlineStr">
        <is>
          <t>ราคาเสนอ (รวมทั้งหมด)</t>
        </is>
      </c>
      <c r="C29" s="16" t="n"/>
      <c r="D29" s="17" t="n"/>
      <c r="E29" s="32">
        <f>Calculator!B71</f>
        <v/>
      </c>
    </row>
    <row r="30">
      <c r="B30" s="29" t="inlineStr">
        <is>
          <t>ราคาต่อชิ้น</t>
        </is>
      </c>
      <c r="C30" s="16" t="n"/>
      <c r="D30" s="17" t="n"/>
      <c r="E30" s="33">
        <f>Calculator!B72</f>
        <v/>
      </c>
    </row>
    <row r="32">
      <c r="A32" s="34" t="inlineStr">
        <is>
          <t>หมายเหตุ:</t>
        </is>
      </c>
    </row>
    <row r="33">
      <c r="A33" s="34" t="inlineStr">
        <is>
          <t>• ราคานี้ยังไม่รวม VAT 7%</t>
        </is>
      </c>
    </row>
    <row r="34">
      <c r="A34" s="34" t="inlineStr">
        <is>
          <t>• ราคาเสนอมีผลภายใน 30 วัน</t>
        </is>
      </c>
    </row>
    <row r="35">
      <c r="A35" s="34" t="inlineStr">
        <is>
          <t>• ระยะเวลาส่งมอบ 7-14 วันทำการหลังยืนยันแบบ</t>
        </is>
      </c>
    </row>
    <row r="37">
      <c r="A37" s="26" t="inlineStr">
        <is>
          <t>ผู้เสนอราคา</t>
        </is>
      </c>
      <c r="D37" s="26" t="inlineStr">
        <is>
          <t>ผู้อนุมัติ</t>
        </is>
      </c>
    </row>
    <row r="38">
      <c r="A38" t="inlineStr">
        <is>
          <t>_____________________</t>
        </is>
      </c>
      <c r="D38" t="inlineStr">
        <is>
          <t>_____________________</t>
        </is>
      </c>
    </row>
  </sheetData>
  <mergeCells count="25">
    <mergeCell ref="A34:E34"/>
    <mergeCell ref="B7:C7"/>
    <mergeCell ref="B15:E15"/>
    <mergeCell ref="A1:E1"/>
    <mergeCell ref="B20:E20"/>
    <mergeCell ref="B29:D29"/>
    <mergeCell ref="B28:D28"/>
    <mergeCell ref="B16:E16"/>
    <mergeCell ref="B30:D30"/>
    <mergeCell ref="B8:C8"/>
    <mergeCell ref="B18:E18"/>
    <mergeCell ref="A2:E2"/>
    <mergeCell ref="B12:E12"/>
    <mergeCell ref="A33:E33"/>
    <mergeCell ref="B11:E11"/>
    <mergeCell ref="A32:E32"/>
    <mergeCell ref="A22:E22"/>
    <mergeCell ref="B14:E14"/>
    <mergeCell ref="B6:C6"/>
    <mergeCell ref="B17:E17"/>
    <mergeCell ref="A4:E4"/>
    <mergeCell ref="A35:E35"/>
    <mergeCell ref="A10:E10"/>
    <mergeCell ref="B13:E13"/>
    <mergeCell ref="B19:E19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8" customWidth="1" min="9" max="9"/>
  </cols>
  <sheetData>
    <row r="1" ht="28" customHeight="1">
      <c r="A1" s="1" t="inlineStr">
        <is>
          <t>ตารางเครื่องพิมพ์ Heidelberg + Komori (13 รุ่น) — datasheet 2025</t>
        </is>
      </c>
    </row>
    <row r="2">
      <c r="A2" s="2" t="inlineStr">
        <is>
          <t>Key</t>
        </is>
      </c>
      <c r="B2" s="2" t="inlineStr">
        <is>
          <t>ชื่อเครื่อง</t>
        </is>
      </c>
      <c r="C2" s="2" t="inlineStr">
        <is>
          <t>Min W (ซม.)</t>
        </is>
      </c>
      <c r="D2" s="2" t="inlineStr">
        <is>
          <t>Min H (ซม.)</t>
        </is>
      </c>
      <c r="E2" s="2" t="inlineStr">
        <is>
          <t>Max W (ซม.)</t>
        </is>
      </c>
      <c r="F2" s="2" t="inlineStr">
        <is>
          <t>Max H (ซม.)</t>
        </is>
      </c>
      <c r="G2" s="2" t="inlineStr">
        <is>
          <t>Plate Size</t>
        </is>
      </c>
      <c r="H2" s="2" t="inlineStr">
        <is>
          <t>ค่าเพลท Legacy</t>
        </is>
      </c>
      <c r="I2" s="2" t="inlineStr">
        <is>
          <t>ค่าเพลท Datasheet2025</t>
        </is>
      </c>
    </row>
    <row r="3">
      <c r="A3" s="3" t="inlineStr">
        <is>
          <t>heidelberg_gto46</t>
        </is>
      </c>
      <c r="B3" s="3" t="inlineStr">
        <is>
          <t>Heidelberg GTO 46</t>
        </is>
      </c>
      <c r="C3" s="4" t="n">
        <v>14.8</v>
      </c>
      <c r="D3" s="4" t="n">
        <v>10.5</v>
      </c>
      <c r="E3" s="4" t="n">
        <v>46</v>
      </c>
      <c r="F3" s="4" t="n">
        <v>34</v>
      </c>
      <c r="G3" s="3" t="inlineStr">
        <is>
          <t>ตัด 8 (เล็ก)</t>
        </is>
      </c>
      <c r="H3" s="5" t="n">
        <v>200</v>
      </c>
      <c r="I3" s="5" t="n">
        <v>150</v>
      </c>
    </row>
    <row r="4">
      <c r="A4" s="3" t="inlineStr">
        <is>
          <t>heidelberg_sm52</t>
        </is>
      </c>
      <c r="B4" s="3" t="inlineStr">
        <is>
          <t>Heidelberg SM52</t>
        </is>
      </c>
      <c r="C4" s="4" t="n">
        <v>14.5</v>
      </c>
      <c r="D4" s="4" t="n">
        <v>10.5</v>
      </c>
      <c r="E4" s="4" t="n">
        <v>52</v>
      </c>
      <c r="F4" s="4" t="n">
        <v>37</v>
      </c>
      <c r="G4" s="3" t="inlineStr">
        <is>
          <t>ตัด 8 (กลาง)</t>
        </is>
      </c>
      <c r="H4" s="5" t="n">
        <v>250</v>
      </c>
      <c r="I4" s="5" t="n">
        <v>150</v>
      </c>
    </row>
    <row r="5">
      <c r="A5" s="3" t="inlineStr">
        <is>
          <t>heidelberg_gto52</t>
        </is>
      </c>
      <c r="B5" s="3" t="inlineStr">
        <is>
          <t>Heidelberg GTO 52</t>
        </is>
      </c>
      <c r="C5" s="4" t="n">
        <v>18</v>
      </c>
      <c r="D5" s="4" t="n">
        <v>10.5</v>
      </c>
      <c r="E5" s="4" t="n">
        <v>52</v>
      </c>
      <c r="F5" s="4" t="n">
        <v>36</v>
      </c>
      <c r="G5" s="3" t="inlineStr">
        <is>
          <t>ตัด 4</t>
        </is>
      </c>
      <c r="H5" s="5" t="n">
        <v>250</v>
      </c>
      <c r="I5" s="5" t="n">
        <v>150</v>
      </c>
    </row>
    <row r="6">
      <c r="A6" s="3" t="inlineStr">
        <is>
          <t>heidelberg_mo</t>
        </is>
      </c>
      <c r="B6" s="3" t="inlineStr">
        <is>
          <t>Heidelberg MO (MOZ/MOV)</t>
        </is>
      </c>
      <c r="C6" s="4" t="n">
        <v>28</v>
      </c>
      <c r="D6" s="4" t="n">
        <v>21</v>
      </c>
      <c r="E6" s="4" t="n">
        <v>65</v>
      </c>
      <c r="F6" s="4" t="n">
        <v>48</v>
      </c>
      <c r="G6" s="3" t="inlineStr">
        <is>
          <t>ตัด 4 (B2)</t>
        </is>
      </c>
      <c r="H6" s="5" t="n">
        <v>300</v>
      </c>
      <c r="I6" s="5" t="n">
        <v>300</v>
      </c>
    </row>
    <row r="7">
      <c r="A7" s="3" t="inlineStr">
        <is>
          <t>heidelberg_movp</t>
        </is>
      </c>
      <c r="B7" s="3" t="inlineStr">
        <is>
          <t>Heidelberg MOVP (Perfector)</t>
        </is>
      </c>
      <c r="C7" s="4" t="n">
        <v>28</v>
      </c>
      <c r="D7" s="4" t="n">
        <v>21</v>
      </c>
      <c r="E7" s="4" t="n">
        <v>65</v>
      </c>
      <c r="F7" s="4" t="n">
        <v>48</v>
      </c>
      <c r="G7" s="3" t="inlineStr">
        <is>
          <t>ตัด 4 (B2)</t>
        </is>
      </c>
      <c r="H7" s="5" t="n">
        <v>300</v>
      </c>
      <c r="I7" s="5" t="n">
        <v>300</v>
      </c>
    </row>
    <row r="8">
      <c r="A8" s="3" t="inlineStr">
        <is>
          <t>heidelberg_sx52</t>
        </is>
      </c>
      <c r="B8" s="3" t="inlineStr">
        <is>
          <t>Heidelberg SX52</t>
        </is>
      </c>
      <c r="C8" s="4" t="n">
        <v>14.5</v>
      </c>
      <c r="D8" s="4" t="n">
        <v>10.5</v>
      </c>
      <c r="E8" s="4" t="n">
        <v>52</v>
      </c>
      <c r="F8" s="4" t="n">
        <v>37</v>
      </c>
      <c r="G8" s="3" t="inlineStr">
        <is>
          <t>ตัด 2</t>
        </is>
      </c>
      <c r="H8" s="5" t="n">
        <v>450</v>
      </c>
      <c r="I8" s="5" t="n">
        <v>150</v>
      </c>
    </row>
    <row r="9">
      <c r="A9" s="3" t="inlineStr">
        <is>
          <t>heidelberg_sm74</t>
        </is>
      </c>
      <c r="B9" s="3" t="inlineStr">
        <is>
          <t>Heidelberg SM74</t>
        </is>
      </c>
      <c r="C9" s="4" t="n">
        <v>28</v>
      </c>
      <c r="D9" s="4" t="n">
        <v>21</v>
      </c>
      <c r="E9" s="4" t="n">
        <v>74</v>
      </c>
      <c r="F9" s="4" t="n">
        <v>53</v>
      </c>
      <c r="G9" s="3" t="inlineStr">
        <is>
          <t>ตัด 2 (B2+)</t>
        </is>
      </c>
      <c r="H9" s="5" t="n">
        <v>500</v>
      </c>
      <c r="I9" s="5" t="n">
        <v>500</v>
      </c>
    </row>
    <row r="10">
      <c r="A10" s="3" t="inlineStr">
        <is>
          <t>heidelberg_sx74</t>
        </is>
      </c>
      <c r="B10" s="3" t="inlineStr">
        <is>
          <t>Heidelberg SX74</t>
        </is>
      </c>
      <c r="C10" s="4" t="n">
        <v>28</v>
      </c>
      <c r="D10" s="4" t="n">
        <v>21</v>
      </c>
      <c r="E10" s="4" t="n">
        <v>74</v>
      </c>
      <c r="F10" s="4" t="n">
        <v>53</v>
      </c>
      <c r="G10" s="3" t="inlineStr">
        <is>
          <t>ตัด 2</t>
        </is>
      </c>
      <c r="H10" s="5" t="n">
        <v>500</v>
      </c>
      <c r="I10" s="5" t="n">
        <v>500</v>
      </c>
    </row>
    <row r="11">
      <c r="A11" s="3" t="inlineStr">
        <is>
          <t>heidelberg_xl75</t>
        </is>
      </c>
      <c r="B11" s="3" t="inlineStr">
        <is>
          <t>Heidelberg XL75</t>
        </is>
      </c>
      <c r="C11" s="4" t="n">
        <v>35</v>
      </c>
      <c r="D11" s="4" t="n">
        <v>28</v>
      </c>
      <c r="E11" s="4" t="n">
        <v>74</v>
      </c>
      <c r="F11" s="4" t="n">
        <v>58.5</v>
      </c>
      <c r="G11" s="3" t="inlineStr">
        <is>
          <t>ตัด 2</t>
        </is>
      </c>
      <c r="H11" s="5" t="n">
        <v>550</v>
      </c>
      <c r="I11" s="5" t="n">
        <v>600</v>
      </c>
    </row>
    <row r="12">
      <c r="A12" s="3" t="inlineStr">
        <is>
          <t>heidelberg_cd102</t>
        </is>
      </c>
      <c r="B12" s="3" t="inlineStr">
        <is>
          <t>Heidelberg CD102 / XL102</t>
        </is>
      </c>
      <c r="C12" s="4" t="n">
        <v>48</v>
      </c>
      <c r="D12" s="4" t="n">
        <v>34</v>
      </c>
      <c r="E12" s="4" t="n">
        <v>102</v>
      </c>
      <c r="F12" s="4" t="n">
        <v>72</v>
      </c>
      <c r="G12" s="3" t="inlineStr">
        <is>
          <t>ตัด 1 (B1)</t>
        </is>
      </c>
      <c r="H12" s="5" t="n">
        <v>600</v>
      </c>
      <c r="I12" s="5" t="n">
        <v>600</v>
      </c>
    </row>
    <row r="13">
      <c r="A13" s="3" t="inlineStr">
        <is>
          <t>heidelberg_sx102</t>
        </is>
      </c>
      <c r="B13" s="3" t="inlineStr">
        <is>
          <t>Heidelberg SX102</t>
        </is>
      </c>
      <c r="C13" s="4" t="n">
        <v>48</v>
      </c>
      <c r="D13" s="4" t="n">
        <v>34</v>
      </c>
      <c r="E13" s="4" t="n">
        <v>102</v>
      </c>
      <c r="F13" s="4" t="n">
        <v>72</v>
      </c>
      <c r="G13" s="3" t="inlineStr">
        <is>
          <t>ตัด 1</t>
        </is>
      </c>
      <c r="H13" s="5" t="n">
        <v>650</v>
      </c>
      <c r="I13" s="5" t="n">
        <v>600</v>
      </c>
    </row>
    <row r="14">
      <c r="A14" s="3" t="inlineStr">
        <is>
          <t>heidelberg_xl106</t>
        </is>
      </c>
      <c r="B14" s="3" t="inlineStr">
        <is>
          <t>Heidelberg XL106</t>
        </is>
      </c>
      <c r="C14" s="4" t="n">
        <v>48</v>
      </c>
      <c r="D14" s="4" t="n">
        <v>34</v>
      </c>
      <c r="E14" s="4" t="n">
        <v>105</v>
      </c>
      <c r="F14" s="4" t="n">
        <v>75</v>
      </c>
      <c r="G14" s="3" t="inlineStr">
        <is>
          <t>ตัด 1</t>
        </is>
      </c>
      <c r="H14" s="5" t="n">
        <v>700</v>
      </c>
      <c r="I14" s="5" t="n">
        <v>1000</v>
      </c>
    </row>
    <row r="15">
      <c r="A15" s="3" t="inlineStr">
        <is>
          <t>komori_s40</t>
        </is>
      </c>
      <c r="B15" s="3" t="inlineStr">
        <is>
          <t>Komori Lithrone S40</t>
        </is>
      </c>
      <c r="C15" s="4" t="n">
        <v>48</v>
      </c>
      <c r="D15" s="4" t="n">
        <v>34</v>
      </c>
      <c r="E15" s="4" t="n">
        <v>106</v>
      </c>
      <c r="F15" s="4" t="n">
        <v>75</v>
      </c>
      <c r="G15" s="3" t="inlineStr">
        <is>
          <t>ตัด 1 (B1)</t>
        </is>
      </c>
      <c r="H15" s="5" t="n">
        <v>700</v>
      </c>
      <c r="I15" s="5" t="n">
        <v>1000</v>
      </c>
    </row>
    <row r="17">
      <c r="A17" s="6" t="inlineStr">
        <is>
          <t>หมายเหตุ: ตัด N = ขนาดเพลท/เครื่อง ไม่ใช่การตัดกระดาษ • MO ห้ามใช้กระดาษ 31×43 (ใหญ่เกิน) • ใช้ Paper Cutting เพื่อตัดกระดาษโรงงานให้พอดีเครื่องเล็กกว่า</t>
        </is>
      </c>
    </row>
  </sheetData>
  <mergeCells count="2">
    <mergeCell ref="A1:I1"/>
    <mergeCell ref="A17:I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6" customWidth="1" min="2" max="2"/>
    <col width="22" customWidth="1" min="3" max="3"/>
    <col width="18" customWidth="1" min="4" max="4"/>
    <col width="22" customWidth="1" min="5" max="5"/>
  </cols>
  <sheetData>
    <row r="1" ht="28" customHeight="1">
      <c r="A1" s="1" t="inlineStr">
        <is>
          <t>ตารางค่าพิมพ์ Heidelberg (ตัด 4 / ตัด 2 × Conv / UV)</t>
        </is>
      </c>
    </row>
    <row r="2">
      <c r="A2" s="2" t="inlineStr">
        <is>
          <t>Plate Class</t>
        </is>
      </c>
      <c r="B2" s="2" t="inlineStr">
        <is>
          <t>Ink Type</t>
        </is>
      </c>
      <c r="C2" s="2" t="inlineStr">
        <is>
          <t>ช่วงใบพิมพ์</t>
        </is>
      </c>
      <c r="D2" s="2" t="inlineStr">
        <is>
          <t>เหมา (บาท/สี)</t>
        </is>
      </c>
      <c r="E2" s="2" t="inlineStr">
        <is>
          <t>ส่วนเกิน (บาท/ใบ/สี)</t>
        </is>
      </c>
    </row>
    <row r="3">
      <c r="A3" s="4" t="inlineStr">
        <is>
          <t>ตัด 4</t>
        </is>
      </c>
      <c r="B3" s="4" t="inlineStr">
        <is>
          <t>Conventional</t>
        </is>
      </c>
      <c r="C3" s="4" t="inlineStr">
        <is>
          <t>≤ 10,000 ใบ</t>
        </is>
      </c>
      <c r="D3" s="7" t="n">
        <v>900</v>
      </c>
      <c r="E3" s="7" t="n">
        <v>0</v>
      </c>
    </row>
    <row r="4">
      <c r="A4" s="4" t="inlineStr">
        <is>
          <t>ตัด 4</t>
        </is>
      </c>
      <c r="B4" s="4" t="inlineStr">
        <is>
          <t>Conventional</t>
        </is>
      </c>
      <c r="C4" s="4" t="inlineStr">
        <is>
          <t>&gt; 10,000 ใบ</t>
        </is>
      </c>
      <c r="D4" s="7" t="n">
        <v>900</v>
      </c>
      <c r="E4" s="7" t="n">
        <v>0.1</v>
      </c>
    </row>
    <row r="5">
      <c r="A5" s="4" t="inlineStr">
        <is>
          <t>ตัด 4</t>
        </is>
      </c>
      <c r="B5" s="4" t="inlineStr">
        <is>
          <t>UV</t>
        </is>
      </c>
      <c r="C5" s="4" t="inlineStr">
        <is>
          <t>≤ 1,000 ใบ</t>
        </is>
      </c>
      <c r="D5" s="7" t="n">
        <v>1500</v>
      </c>
      <c r="E5" s="7" t="n">
        <v>0</v>
      </c>
    </row>
    <row r="6">
      <c r="A6" s="4" t="inlineStr">
        <is>
          <t>ตัด 4</t>
        </is>
      </c>
      <c r="B6" s="4" t="inlineStr">
        <is>
          <t>UV</t>
        </is>
      </c>
      <c r="C6" s="4" t="inlineStr">
        <is>
          <t>&gt; 1,000 ใบ</t>
        </is>
      </c>
      <c r="D6" s="7" t="n">
        <v>1500</v>
      </c>
      <c r="E6" s="7" t="n">
        <v>1</v>
      </c>
    </row>
    <row r="7">
      <c r="A7" s="4" t="inlineStr">
        <is>
          <t>ตัด 2</t>
        </is>
      </c>
      <c r="B7" s="4" t="inlineStr">
        <is>
          <t>Conventional</t>
        </is>
      </c>
      <c r="C7" s="4" t="inlineStr">
        <is>
          <t>≤ 10,000 ใบ</t>
        </is>
      </c>
      <c r="D7" s="7" t="n">
        <v>1200</v>
      </c>
      <c r="E7" s="7" t="n">
        <v>0</v>
      </c>
    </row>
    <row r="8">
      <c r="A8" s="4" t="inlineStr">
        <is>
          <t>ตัด 2</t>
        </is>
      </c>
      <c r="B8" s="4" t="inlineStr">
        <is>
          <t>Conventional</t>
        </is>
      </c>
      <c r="C8" s="4" t="inlineStr">
        <is>
          <t>&gt; 10,000 ใบ</t>
        </is>
      </c>
      <c r="D8" s="7" t="n">
        <v>1200</v>
      </c>
      <c r="E8" s="7" t="n">
        <v>0.2</v>
      </c>
    </row>
    <row r="9">
      <c r="A9" s="4" t="inlineStr">
        <is>
          <t>ตัด 2</t>
        </is>
      </c>
      <c r="B9" s="4" t="inlineStr">
        <is>
          <t>UV</t>
        </is>
      </c>
      <c r="C9" s="4" t="inlineStr">
        <is>
          <t>≤ 10,000 ใบ</t>
        </is>
      </c>
      <c r="D9" s="7" t="n">
        <v>2000</v>
      </c>
      <c r="E9" s="7" t="n">
        <v>0</v>
      </c>
    </row>
    <row r="10">
      <c r="A10" s="4" t="inlineStr">
        <is>
          <t>ตัด 2</t>
        </is>
      </c>
      <c r="B10" s="4" t="inlineStr">
        <is>
          <t>UV</t>
        </is>
      </c>
      <c r="C10" s="4" t="inlineStr">
        <is>
          <t>&gt; 10,000 ใบ</t>
        </is>
      </c>
      <c r="D10" s="7" t="n">
        <v>2000</v>
      </c>
      <c r="E10" s="7" t="n">
        <v>1.5</v>
      </c>
    </row>
    <row r="12">
      <c r="A12" s="8" t="inlineStr">
        <is>
          <t>Sheetwise = ค่าพิมพ์ × 2 | Work-and-Turn = × 1 | ตัด 1 → ใช้อัตรา ตัด 2 (ประมาณ) | ตัด 8 → ใช้อัตรา ตัด 4 (ประมาณ)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2" customWidth="1" min="2" max="2"/>
    <col width="14" customWidth="1" min="3" max="3"/>
    <col width="16" customWidth="1" min="4" max="4"/>
  </cols>
  <sheetData>
    <row r="1" ht="28" customHeight="1">
      <c r="A1" s="1" t="inlineStr">
        <is>
          <t>Spoilage Profiles (6 แบบ) + Perfecting Modifier</t>
        </is>
      </c>
    </row>
    <row r="2">
      <c r="A2" s="2" t="inlineStr">
        <is>
          <t>Job Type Key</t>
        </is>
      </c>
      <c r="B2" s="2" t="inlineStr">
        <is>
          <t>ชื่อ (ไทย)</t>
        </is>
      </c>
      <c r="C2" s="2" t="inlineStr">
        <is>
          <t>Rate (%)</t>
        </is>
      </c>
      <c r="D2" s="2" t="inlineStr">
        <is>
          <t>ขั้นต่ำ (ใบ)</t>
        </is>
      </c>
    </row>
    <row r="3">
      <c r="A3" s="3" t="inlineStr">
        <is>
          <t>oneColorRepeat</t>
        </is>
      </c>
      <c r="B3" s="3" t="inlineStr">
        <is>
          <t>1 สี ซ้ำ</t>
        </is>
      </c>
      <c r="C3" s="4" t="n">
        <v>3</v>
      </c>
      <c r="D3" s="4" t="n">
        <v>50</v>
      </c>
    </row>
    <row r="4">
      <c r="A4" s="3" t="inlineStr">
        <is>
          <t>twoColorGeneral</t>
        </is>
      </c>
      <c r="B4" s="3" t="inlineStr">
        <is>
          <t>2 สี ทั่วไป</t>
        </is>
      </c>
      <c r="C4" s="4" t="n">
        <v>5</v>
      </c>
      <c r="D4" s="4" t="n">
        <v>100</v>
      </c>
    </row>
    <row r="5">
      <c r="A5" s="3" t="inlineStr">
        <is>
          <t>fourColorRepeat</t>
        </is>
      </c>
      <c r="B5" s="3" t="inlineStr">
        <is>
          <t>4 สี ซ้ำ</t>
        </is>
      </c>
      <c r="C5" s="4" t="n">
        <v>8</v>
      </c>
      <c r="D5" s="4" t="n">
        <v>100</v>
      </c>
    </row>
    <row r="6">
      <c r="A6" s="3" t="inlineStr">
        <is>
          <t>fourColorFirst</t>
        </is>
      </c>
      <c r="B6" s="3" t="inlineStr">
        <is>
          <t>4 สี ครั้งแรก</t>
        </is>
      </c>
      <c r="C6" s="4" t="n">
        <v>10</v>
      </c>
      <c r="D6" s="4" t="n">
        <v>150</v>
      </c>
    </row>
    <row r="7">
      <c r="A7" s="3" t="inlineStr">
        <is>
          <t>uvOrPantone</t>
        </is>
      </c>
      <c r="B7" s="3" t="inlineStr">
        <is>
          <t>UV / Pantone</t>
        </is>
      </c>
      <c r="C7" s="4" t="n">
        <v>10</v>
      </c>
      <c r="D7" s="4" t="n">
        <v>100</v>
      </c>
    </row>
    <row r="8">
      <c r="A8" s="3" t="inlineStr">
        <is>
          <t>specialPaper</t>
        </is>
      </c>
      <c r="B8" s="3" t="inlineStr">
        <is>
          <t>กระดาษพิเศษ (สติ๊กเกอร์/PVC)</t>
        </is>
      </c>
      <c r="C8" s="4" t="n">
        <v>15</v>
      </c>
      <c r="D8" s="4" t="n">
        <v>150</v>
      </c>
    </row>
    <row r="10">
      <c r="A10" s="2" t="inlineStr">
        <is>
          <t>Perfecting Modifier (เมื่อ printMethod = perfector)</t>
        </is>
      </c>
    </row>
    <row r="11">
      <c r="A11" s="9" t="inlineStr">
        <is>
          <t>ค่า</t>
        </is>
      </c>
      <c r="B11" s="10" t="inlineStr">
        <is>
          <t>Default</t>
        </is>
      </c>
      <c r="C11" s="10" t="inlineStr">
        <is>
          <t>Min</t>
        </is>
      </c>
      <c r="D11" s="10" t="inlineStr">
        <is>
          <t>Max</t>
        </is>
      </c>
    </row>
    <row r="12">
      <c r="A12" s="3" t="inlineStr">
        <is>
          <t>Perfecting +%</t>
        </is>
      </c>
      <c r="B12" s="4" t="n">
        <v>2.5</v>
      </c>
      <c r="C12" s="4" t="n">
        <v>2</v>
      </c>
      <c r="D12" s="4" t="n">
        <v>3</v>
      </c>
    </row>
    <row r="14">
      <c r="A14" s="6" t="inlineStr">
        <is>
          <t>สูตร: spoilageSheets = MAX(CEIL(minSheets × rate), profile.minSheets) | totalSheets = minSheets + spoilageSheets</t>
        </is>
      </c>
    </row>
  </sheetData>
  <mergeCells count="3">
    <mergeCell ref="A1:D1"/>
    <mergeCell ref="A14:D14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  <col width="28" customWidth="1" min="3" max="3"/>
    <col width="18" customWidth="1" min="4" max="4"/>
  </cols>
  <sheetData>
    <row r="1" ht="28" customHeight="1">
      <c r="A1" s="1" t="inlineStr">
        <is>
          <t>ราคากระดาษต่อ กิโลกรัม (Charoen AkSorn พ.ค. 2569)</t>
        </is>
      </c>
    </row>
    <row r="2">
      <c r="A2" s="2" t="inlineStr">
        <is>
          <t>ประเภทกระดาษ</t>
        </is>
      </c>
      <c r="B2" s="2" t="inlineStr">
        <is>
          <t>แกรม</t>
        </is>
      </c>
      <c r="C2" s="2" t="inlineStr">
        <is>
          <t>ยี่ห้อ/Brand</t>
        </is>
      </c>
      <c r="D2" s="2" t="inlineStr">
        <is>
          <t>ราคา/กก. (บาท)</t>
        </is>
      </c>
    </row>
    <row r="3">
      <c r="A3" s="3" t="inlineStr">
        <is>
          <t>ปอนด์ (Woodfree)</t>
        </is>
      </c>
      <c r="B3" s="4" t="inlineStr">
        <is>
          <t>60</t>
        </is>
      </c>
      <c r="C3" s="3" t="inlineStr">
        <is>
          <t>Sky Blue / Paper Plus</t>
        </is>
      </c>
      <c r="D3" s="7" t="n">
        <v>31</v>
      </c>
    </row>
    <row r="4">
      <c r="A4" s="3" t="inlineStr">
        <is>
          <t>ปอนด์ (Woodfree)</t>
        </is>
      </c>
      <c r="B4" s="4" t="inlineStr">
        <is>
          <t>70-120</t>
        </is>
      </c>
      <c r="C4" s="3" t="inlineStr">
        <is>
          <t>Sky Blue / Paper Plus</t>
        </is>
      </c>
      <c r="D4" s="7" t="n">
        <v>30</v>
      </c>
    </row>
    <row r="5">
      <c r="A5" s="3" t="inlineStr">
        <is>
          <t>ปอนด์ (Woodfree)</t>
        </is>
      </c>
      <c r="B5" s="4" t="inlineStr">
        <is>
          <t>60</t>
        </is>
      </c>
      <c r="C5" s="3" t="inlineStr">
        <is>
          <t>UPM PEFC</t>
        </is>
      </c>
      <c r="D5" s="7" t="n">
        <v>32</v>
      </c>
    </row>
    <row r="6">
      <c r="A6" s="3" t="inlineStr">
        <is>
          <t>ปอนด์ (Woodfree)</t>
        </is>
      </c>
      <c r="B6" s="4" t="inlineStr">
        <is>
          <t>70-80</t>
        </is>
      </c>
      <c r="C6" s="3" t="inlineStr">
        <is>
          <t>UPM PEFC</t>
        </is>
      </c>
      <c r="D6" s="7" t="n">
        <v>31</v>
      </c>
    </row>
    <row r="7">
      <c r="A7" s="3" t="inlineStr">
        <is>
          <t>ปอนด์ (Woodfree)</t>
        </is>
      </c>
      <c r="B7" s="4" t="inlineStr">
        <is>
          <t>60</t>
        </is>
      </c>
      <c r="C7" s="3" t="inlineStr">
        <is>
          <t>Premium X</t>
        </is>
      </c>
      <c r="D7" s="7" t="n">
        <v>30</v>
      </c>
    </row>
    <row r="8">
      <c r="A8" s="3" t="inlineStr">
        <is>
          <t>ปอนด์ (Woodfree)</t>
        </is>
      </c>
      <c r="B8" s="4" t="inlineStr">
        <is>
          <t>70-100</t>
        </is>
      </c>
      <c r="C8" s="3" t="inlineStr">
        <is>
          <t>Premium X</t>
        </is>
      </c>
      <c r="D8" s="7" t="n">
        <v>29</v>
      </c>
    </row>
    <row r="9">
      <c r="A9" s="3" t="inlineStr">
        <is>
          <t>อาร์ตมัน/ด้าน</t>
        </is>
      </c>
      <c r="B9" s="4" t="inlineStr">
        <is>
          <t>80-90</t>
        </is>
      </c>
      <c r="C9" s="3" t="inlineStr">
        <is>
          <t>Superkote</t>
        </is>
      </c>
      <c r="D9" s="7" t="n">
        <v>34</v>
      </c>
    </row>
    <row r="10">
      <c r="A10" s="3" t="inlineStr">
        <is>
          <t>อาร์ตมัน/ด้าน</t>
        </is>
      </c>
      <c r="B10" s="4" t="inlineStr">
        <is>
          <t>100-157</t>
        </is>
      </c>
      <c r="C10" s="3" t="inlineStr">
        <is>
          <t>Superkote</t>
        </is>
      </c>
      <c r="D10" s="7" t="n">
        <v>32</v>
      </c>
    </row>
    <row r="11">
      <c r="A11" s="3" t="inlineStr">
        <is>
          <t>อาร์ตมัน/ด้าน</t>
        </is>
      </c>
      <c r="B11" s="4" t="inlineStr">
        <is>
          <t>80</t>
        </is>
      </c>
      <c r="C11" s="3" t="inlineStr">
        <is>
          <t>Nevia Spakling</t>
        </is>
      </c>
      <c r="D11" s="7" t="n">
        <v>33</v>
      </c>
    </row>
    <row r="12">
      <c r="A12" s="3" t="inlineStr">
        <is>
          <t>อาร์ตมัน/ด้าน</t>
        </is>
      </c>
      <c r="B12" s="4" t="inlineStr">
        <is>
          <t>85-90</t>
        </is>
      </c>
      <c r="C12" s="3" t="inlineStr">
        <is>
          <t>Nevia Spakling</t>
        </is>
      </c>
      <c r="D12" s="7" t="n">
        <v>32</v>
      </c>
    </row>
    <row r="13">
      <c r="A13" s="3" t="inlineStr">
        <is>
          <t>อาร์ตมัน/ด้าน</t>
        </is>
      </c>
      <c r="B13" s="4" t="inlineStr">
        <is>
          <t>100-157</t>
        </is>
      </c>
      <c r="C13" s="3" t="inlineStr">
        <is>
          <t>Nevia Spakling</t>
        </is>
      </c>
      <c r="D13" s="7" t="n">
        <v>31</v>
      </c>
    </row>
    <row r="14">
      <c r="A14" s="3" t="inlineStr">
        <is>
          <t>อาร์ตมัน/ด้าน</t>
        </is>
      </c>
      <c r="B14" s="4" t="inlineStr">
        <is>
          <t>80-90</t>
        </is>
      </c>
      <c r="C14" s="3" t="inlineStr">
        <is>
          <t>YUKI/HI-KOTE/ART-TECH</t>
        </is>
      </c>
      <c r="D14" s="7" t="n">
        <v>32</v>
      </c>
    </row>
    <row r="15">
      <c r="A15" s="3" t="inlineStr">
        <is>
          <t>อาร์ตมัน/ด้าน</t>
        </is>
      </c>
      <c r="B15" s="4" t="inlineStr">
        <is>
          <t>100-128</t>
        </is>
      </c>
      <c r="C15" s="3" t="inlineStr">
        <is>
          <t>YUKI/HI-KOTE/ART-TECH</t>
        </is>
      </c>
      <c r="D15" s="7" t="n">
        <v>31</v>
      </c>
    </row>
    <row r="16">
      <c r="A16" s="3" t="inlineStr">
        <is>
          <t>อาร์ตการ์ด 2 หน้า</t>
        </is>
      </c>
      <c r="B16" s="4" t="inlineStr">
        <is>
          <t>190-260</t>
        </is>
      </c>
      <c r="C16" s="3" t="inlineStr">
        <is>
          <t>Superkote/HI-KOTE</t>
        </is>
      </c>
      <c r="D16" s="7" t="n">
        <v>31</v>
      </c>
    </row>
    <row r="17">
      <c r="A17" s="3" t="inlineStr">
        <is>
          <t>อาร์ตการ์ด 2 หน้า</t>
        </is>
      </c>
      <c r="B17" s="4" t="inlineStr">
        <is>
          <t>300-420</t>
        </is>
      </c>
      <c r="C17" s="3" t="inlineStr">
        <is>
          <t>Superkote/HI-KOTE</t>
        </is>
      </c>
      <c r="D17" s="7" t="n">
        <v>30</v>
      </c>
    </row>
    <row r="18">
      <c r="A18" s="3" t="inlineStr">
        <is>
          <t>อาร์ตการ์ด 1 หน้า (Ivory)</t>
        </is>
      </c>
      <c r="B18" s="4" t="inlineStr">
        <is>
          <t>190-300</t>
        </is>
      </c>
      <c r="C18" s="3" t="inlineStr">
        <is>
          <t>ฟอลเรท/UPM/PrimaArt</t>
        </is>
      </c>
      <c r="D18" s="7" t="n">
        <v>32</v>
      </c>
    </row>
    <row r="19">
      <c r="A19" s="3" t="inlineStr">
        <is>
          <t>อาร์ตการ์ด 1 หน้า (Ivory)</t>
        </is>
      </c>
      <c r="B19" s="4" t="inlineStr">
        <is>
          <t>330-380</t>
        </is>
      </c>
      <c r="C19" s="3" t="inlineStr">
        <is>
          <t>ฟอลเรท/UPM/PrimaArt</t>
        </is>
      </c>
      <c r="D19" s="7" t="n">
        <v>31</v>
      </c>
    </row>
    <row r="20">
      <c r="A20" s="3" t="inlineStr">
        <is>
          <t>กล่องแป้งหลังเทา</t>
        </is>
      </c>
      <c r="B20" s="4" t="inlineStr">
        <is>
          <t>250-450</t>
        </is>
      </c>
      <c r="C20" s="3" t="inlineStr">
        <is>
          <t>Royal/Lerthai</t>
        </is>
      </c>
      <c r="D20" s="7" t="n">
        <v>22</v>
      </c>
    </row>
    <row r="21">
      <c r="A21" s="3" t="inlineStr">
        <is>
          <t>คราฟท์</t>
        </is>
      </c>
      <c r="B21" s="4" t="inlineStr">
        <is>
          <t>50-170</t>
        </is>
      </c>
      <c r="C21" s="3" t="inlineStr">
        <is>
          <t>หลายยี่ห้อ</t>
        </is>
      </c>
      <c r="D21" s="7" t="n">
        <v>28</v>
      </c>
    </row>
    <row r="22">
      <c r="A22" s="3" t="inlineStr">
        <is>
          <t>กระดาษการ์ดขาว</t>
        </is>
      </c>
      <c r="B22" s="4" t="inlineStr">
        <is>
          <t>150-250</t>
        </is>
      </c>
      <c r="C22" s="3" t="inlineStr">
        <is>
          <t>หลายยี่ห้อ</t>
        </is>
      </c>
      <c r="D22" s="7" t="n">
        <v>35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4" customWidth="1" min="2" max="2"/>
    <col width="10" customWidth="1" min="3" max="3"/>
    <col width="18" customWidth="1" min="4" max="4"/>
    <col width="36" customWidth="1" min="5" max="5"/>
    <col width="28" customWidth="1" min="6" max="6"/>
  </cols>
  <sheetData>
    <row r="1" ht="28" customHeight="1">
      <c r="A1" s="1" t="inlineStr">
        <is>
          <t>Paper Cutting Reference — กระดาษโรงงาน → ตัดเป็นชิ้นสำหรับเครื่องพิมพ์</t>
        </is>
      </c>
    </row>
    <row r="2">
      <c r="A2" s="2" t="inlineStr">
        <is>
          <t>Factory Sheet</t>
        </is>
      </c>
      <c r="B2" s="2" t="inlineStr">
        <is>
          <t>ตัด (rows×cols)</t>
        </is>
      </c>
      <c r="C2" s="2" t="inlineStr">
        <is>
          <t>ชิ้น/ใบ</t>
        </is>
      </c>
      <c r="D2" s="2" t="inlineStr">
        <is>
          <t>ขนาดชิ้น (ซม.)</t>
        </is>
      </c>
      <c r="E2" s="2" t="inlineStr">
        <is>
          <t>เครื่องที่ใช้ได้</t>
        </is>
      </c>
      <c r="F2" s="2" t="inlineStr">
        <is>
          <t>งานที่เหมาะ</t>
        </is>
      </c>
    </row>
    <row r="3">
      <c r="A3" s="4" t="inlineStr">
        <is>
          <t>31×43 นิ้ว</t>
        </is>
      </c>
      <c r="B3" s="4" t="inlineStr">
        <is>
          <t>(1,2)</t>
        </is>
      </c>
      <c r="C3" s="4" t="n">
        <v>2</v>
      </c>
      <c r="D3" s="4" t="inlineStr">
        <is>
          <t>78.74 × 54.61</t>
        </is>
      </c>
      <c r="E3" s="3" t="inlineStr">
        <is>
          <t>CD102, SX102, XL106, Komori S40</t>
        </is>
      </c>
      <c r="F3" s="3" t="inlineStr">
        <is>
          <t>A1+ โปสเตอร์ใหญ่</t>
        </is>
      </c>
    </row>
    <row r="4">
      <c r="A4" s="4" t="inlineStr">
        <is>
          <t>31×43 นิ้ว</t>
        </is>
      </c>
      <c r="B4" s="4" t="inlineStr">
        <is>
          <t>(2,2)</t>
        </is>
      </c>
      <c r="C4" s="4" t="n">
        <v>4</v>
      </c>
      <c r="D4" s="4" t="inlineStr">
        <is>
          <t>54.61 × 39.37</t>
        </is>
      </c>
      <c r="E4" s="3" t="inlineStr">
        <is>
          <t>MO, MOVP, SM74, SX74, XL75, CD102, SX102, XL106, Komori</t>
        </is>
      </c>
      <c r="F4" s="3" t="inlineStr">
        <is>
          <t>A2+ ปก โปสเตอร์</t>
        </is>
      </c>
    </row>
    <row r="5">
      <c r="A5" s="4" t="inlineStr">
        <is>
          <t>31×43 นิ้ว</t>
        </is>
      </c>
      <c r="B5" s="4" t="inlineStr">
        <is>
          <t>(4,2)</t>
        </is>
      </c>
      <c r="C5" s="4" t="n">
        <v>8</v>
      </c>
      <c r="D5" s="4" t="inlineStr">
        <is>
          <t>54.61 × 19.69</t>
        </is>
      </c>
      <c r="E5" s="3" t="inlineStr">
        <is>
          <t>ไม่มี (ชิ้นยาวเกินด้านสั้นเครื่อง)</t>
        </is>
      </c>
      <c r="F5" s="11" t="inlineStr">
        <is>
          <t>ต้องตัดแบบอื่น ⚠️</t>
        </is>
      </c>
    </row>
    <row r="6">
      <c r="A6" s="4" t="inlineStr">
        <is>
          <t>31×43 นิ้ว</t>
        </is>
      </c>
      <c r="B6" s="4" t="inlineStr">
        <is>
          <t>(4,4)</t>
        </is>
      </c>
      <c r="C6" s="4" t="n">
        <v>16</v>
      </c>
      <c r="D6" s="4" t="inlineStr">
        <is>
          <t>27.31 × 19.69</t>
        </is>
      </c>
      <c r="E6" s="3" t="inlineStr">
        <is>
          <t>GTO46, GTO52, SM52, SX52</t>
        </is>
      </c>
      <c r="F6" s="11" t="inlineStr">
        <is>
          <t>A4 (เสียเศษมาก ⚠️)</t>
        </is>
      </c>
    </row>
    <row r="7">
      <c r="A7" s="4" t="inlineStr">
        <is>
          <t>25×36 นิ้ว</t>
        </is>
      </c>
      <c r="B7" s="4" t="inlineStr">
        <is>
          <t>(1,1)</t>
        </is>
      </c>
      <c r="C7" s="4" t="n">
        <v>1</v>
      </c>
      <c r="D7" s="4" t="inlineStr">
        <is>
          <t>91.44 × 63.50</t>
        </is>
      </c>
      <c r="E7" s="3" t="inlineStr">
        <is>
          <t>CD102, SX102, XL106, Komori S40</t>
        </is>
      </c>
      <c r="F7" s="3" t="inlineStr">
        <is>
          <t>B1</t>
        </is>
      </c>
    </row>
    <row r="8">
      <c r="A8" s="4" t="inlineStr">
        <is>
          <t>25×36 นิ้ว</t>
        </is>
      </c>
      <c r="B8" s="4" t="inlineStr">
        <is>
          <t>(2,2)</t>
        </is>
      </c>
      <c r="C8" s="4" t="n">
        <v>4</v>
      </c>
      <c r="D8" s="4" t="inlineStr">
        <is>
          <t>45.72 × 31.75</t>
        </is>
      </c>
      <c r="E8" s="3" t="inlineStr">
        <is>
          <t>GTO52, MO, MOVP, SM52, SX52, SM74, SX74, XL75</t>
        </is>
      </c>
      <c r="F8" s="3" t="inlineStr">
        <is>
          <t>A3+ โปสเตอร์ A3</t>
        </is>
      </c>
    </row>
    <row r="9">
      <c r="A9" s="4" t="inlineStr">
        <is>
          <t>25×36 นิ้ว</t>
        </is>
      </c>
      <c r="B9" s="4" t="inlineStr">
        <is>
          <t>(3,3)</t>
        </is>
      </c>
      <c r="C9" s="4" t="n">
        <v>9</v>
      </c>
      <c r="D9" s="4" t="inlineStr">
        <is>
          <t>30.48 × 21.17</t>
        </is>
      </c>
      <c r="E9" s="3" t="inlineStr">
        <is>
          <t>GTO46, GTO52, SM52, SX52, MO, MOVP, SM74, SX74</t>
        </is>
      </c>
      <c r="F9" s="12" t="inlineStr">
        <is>
          <t>✅ A4 เสียเศษน้อยสุด</t>
        </is>
      </c>
    </row>
    <row r="10">
      <c r="A10" s="4" t="inlineStr">
        <is>
          <t>25×36 นิ้ว</t>
        </is>
      </c>
      <c r="B10" s="4" t="inlineStr">
        <is>
          <t>(6,6)</t>
        </is>
      </c>
      <c r="C10" s="4" t="n">
        <v>36</v>
      </c>
      <c r="D10" s="4" t="inlineStr">
        <is>
          <t>15.24 × 10.58</t>
        </is>
      </c>
      <c r="E10" s="3" t="inlineStr">
        <is>
          <t>GTO46, SM52, SX52</t>
        </is>
      </c>
      <c r="F10" s="3" t="inlineStr">
        <is>
          <t>A6 นามบัตร</t>
        </is>
      </c>
    </row>
    <row r="11">
      <c r="A11" s="4" t="inlineStr">
        <is>
          <t>24×35 นิ้ว</t>
        </is>
      </c>
      <c r="B11" s="4" t="inlineStr">
        <is>
          <t>(1,1)</t>
        </is>
      </c>
      <c r="C11" s="4" t="n">
        <v>1</v>
      </c>
      <c r="D11" s="4" t="inlineStr">
        <is>
          <t>88.90 × 60.96</t>
        </is>
      </c>
      <c r="E11" s="3" t="inlineStr">
        <is>
          <t>CD102, SX102, XL106, Komori S40</t>
        </is>
      </c>
      <c r="F11" s="3" t="inlineStr">
        <is>
          <t>B1-</t>
        </is>
      </c>
    </row>
    <row r="12">
      <c r="A12" s="4" t="inlineStr">
        <is>
          <t>24×35 นิ้ว</t>
        </is>
      </c>
      <c r="B12" s="4" t="inlineStr">
        <is>
          <t>(2,2)</t>
        </is>
      </c>
      <c r="C12" s="4" t="n">
        <v>4</v>
      </c>
      <c r="D12" s="4" t="inlineStr">
        <is>
          <t>44.45 × 30.48</t>
        </is>
      </c>
      <c r="E12" s="3" t="inlineStr">
        <is>
          <t>GTO46, GTO52, SM52, SX52, MO, MOVP, SM74, SX74, XL75</t>
        </is>
      </c>
      <c r="F12" s="3" t="inlineStr">
        <is>
          <t>A3+</t>
        </is>
      </c>
    </row>
    <row r="13">
      <c r="A13" s="4" t="inlineStr">
        <is>
          <t>24×35 นิ้ว</t>
        </is>
      </c>
      <c r="B13" s="4" t="inlineStr">
        <is>
          <t>(2,4)</t>
        </is>
      </c>
      <c r="C13" s="4" t="n">
        <v>8</v>
      </c>
      <c r="D13" s="4" t="inlineStr">
        <is>
          <t>44.45 × 15.24</t>
        </is>
      </c>
      <c r="E13" s="3" t="inlineStr">
        <is>
          <t>GTO46, GTO52, SM52, SX52</t>
        </is>
      </c>
      <c r="F13" s="3" t="inlineStr">
        <is>
          <t>งานยาว</t>
        </is>
      </c>
    </row>
    <row r="14">
      <c r="A14" s="4" t="inlineStr">
        <is>
          <t>24×35 นิ้ว</t>
        </is>
      </c>
      <c r="B14" s="4" t="inlineStr">
        <is>
          <t>(8,4)</t>
        </is>
      </c>
      <c r="C14" s="4" t="n">
        <v>32</v>
      </c>
      <c r="D14" s="4" t="inlineStr">
        <is>
          <t>22.23 × 7.62</t>
        </is>
      </c>
      <c r="E14" s="3" t="inlineStr">
        <is>
          <t>ไม่มี (ชิ้นเล็ก/แคบเกินเครื่อง)</t>
        </is>
      </c>
      <c r="F14" s="11" t="inlineStr">
        <is>
          <t>งานเล็กพิเศษ ⚠️</t>
        </is>
      </c>
    </row>
    <row r="15">
      <c r="A15" s="4" t="inlineStr">
        <is>
          <t>19×25 นิ้ว</t>
        </is>
      </c>
      <c r="B15" s="4" t="inlineStr">
        <is>
          <t>(1,1)</t>
        </is>
      </c>
      <c r="C15" s="4" t="n">
        <v>1</v>
      </c>
      <c r="D15" s="4" t="inlineStr">
        <is>
          <t>63.50 × 48.26</t>
        </is>
      </c>
      <c r="E15" s="3" t="inlineStr">
        <is>
          <t>SM74, SX74, XL75, CD102, SX102, XL106, Komori</t>
        </is>
      </c>
      <c r="F15" s="3" t="inlineStr">
        <is>
          <t>B2</t>
        </is>
      </c>
    </row>
    <row r="16">
      <c r="A16" s="4" t="inlineStr">
        <is>
          <t>19×25 นิ้ว</t>
        </is>
      </c>
      <c r="B16" s="4" t="inlineStr">
        <is>
          <t>(2,2)</t>
        </is>
      </c>
      <c r="C16" s="4" t="n">
        <v>4</v>
      </c>
      <c r="D16" s="4" t="inlineStr">
        <is>
          <t>31.75 × 24.13</t>
        </is>
      </c>
      <c r="E16" s="3" t="inlineStr">
        <is>
          <t>GTO46, GTO52, SM52, SX52, MO, MOVP, SM74, SX74</t>
        </is>
      </c>
      <c r="F16" s="3" t="inlineStr">
        <is>
          <t>A4+</t>
        </is>
      </c>
    </row>
    <row r="17">
      <c r="A17" s="4" t="inlineStr">
        <is>
          <t>19×25 นิ้ว</t>
        </is>
      </c>
      <c r="B17" s="4" t="inlineStr">
        <is>
          <t>(4,2)</t>
        </is>
      </c>
      <c r="C17" s="4" t="n">
        <v>8</v>
      </c>
      <c r="D17" s="4" t="inlineStr">
        <is>
          <t>31.75 × 12.07</t>
        </is>
      </c>
      <c r="E17" s="3" t="inlineStr">
        <is>
          <t>GTO46, GTO52, SM52, SX52</t>
        </is>
      </c>
      <c r="F17" s="3" t="inlineStr">
        <is>
          <t>งานยาว</t>
        </is>
      </c>
    </row>
    <row r="19">
      <c r="A19" s="6" t="inlineStr">
        <is>
          <t>💡 งาน A4 → ใช้ 25×36 นิ้ว (3,3) ดีที่สุด — เสียเศษแค่ 5 มม. × 23.4 มม. | 24×35 (2,4) = 21×29.7 ก็เหมาะ ห้ามใช้ 31×43</t>
        </is>
      </c>
    </row>
  </sheetData>
  <mergeCells count="2">
    <mergeCell ref="A19:F19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36" customWidth="1" min="2" max="2"/>
    <col width="28" customWidth="1" min="3" max="3"/>
  </cols>
  <sheetData>
    <row r="1" ht="28" customHeight="1">
      <c r="A1" s="1" t="inlineStr">
        <is>
          <t>Quick Select — แนะนำเครื่อง / วิธีพิมพ์ / จำนวนสี</t>
        </is>
      </c>
    </row>
    <row r="3">
      <c r="A3" s="2" t="inlineStr">
        <is>
          <t>1. แนะนำวิธีพิมพ์ตามจำนวนสั่ง</t>
        </is>
      </c>
    </row>
    <row r="4">
      <c r="A4" s="2" t="inlineStr">
        <is>
          <t>จำนวนสั่ง</t>
        </is>
      </c>
      <c r="B4" s="2" t="inlineStr">
        <is>
          <t>วิธีแนะนำ</t>
        </is>
      </c>
      <c r="C4" s="2" t="inlineStr">
        <is>
          <t>เหตุผล</t>
        </is>
      </c>
    </row>
    <row r="5">
      <c r="A5" s="3" t="inlineStr">
        <is>
          <t>&lt; 500 ชิ้น</t>
        </is>
      </c>
      <c r="B5" s="3" t="inlineStr">
        <is>
          <t>Work-and-Turn</t>
        </is>
      </c>
      <c r="C5" s="3" t="inlineStr">
        <is>
          <t>ค่าเพลทประหยัดครึ่งหนึ่ง</t>
        </is>
      </c>
    </row>
    <row r="6">
      <c r="A6" s="3" t="inlineStr">
        <is>
          <t>500–2,000 ชิ้น</t>
        </is>
      </c>
      <c r="B6" s="3" t="inlineStr">
        <is>
          <t>Work-and-Turn</t>
        </is>
      </c>
      <c r="C6" s="3" t="inlineStr">
        <is>
          <t>ยังประหยัดได้ชัดเจน</t>
        </is>
      </c>
    </row>
    <row r="7">
      <c r="A7" s="3" t="inlineStr">
        <is>
          <t>2,001–5,000 ชิ้น</t>
        </is>
      </c>
      <c r="B7" s="3" t="inlineStr">
        <is>
          <t>Work-and-Turn / Sheetwise</t>
        </is>
      </c>
      <c r="C7" s="3" t="inlineStr">
        <is>
          <t>พิจารณาตามคุณภาพ</t>
        </is>
      </c>
    </row>
    <row r="8">
      <c r="A8" s="3" t="inlineStr">
        <is>
          <t>&gt; 5,000 ชิ้น</t>
        </is>
      </c>
      <c r="B8" s="3" t="inlineStr">
        <is>
          <t>Sheetwise</t>
        </is>
      </c>
      <c r="C8" s="3" t="inlineStr">
        <is>
          <t>Registration ดีกว่า</t>
        </is>
      </c>
    </row>
    <row r="11">
      <c r="A11" s="2" t="inlineStr">
        <is>
          <t>2. แนะนำเครื่องตามจำนวนสี</t>
        </is>
      </c>
    </row>
    <row r="12">
      <c r="A12" s="2" t="inlineStr">
        <is>
          <t>งาน</t>
        </is>
      </c>
      <c r="B12" s="2" t="inlineStr">
        <is>
          <t>เครื่องที่แนะนำ</t>
        </is>
      </c>
      <c r="C12" s="2" t="inlineStr">
        <is>
          <t>หมายเหตุ</t>
        </is>
      </c>
    </row>
    <row r="13">
      <c r="A13" s="3" t="inlineStr">
        <is>
          <t>1–2 สี</t>
        </is>
      </c>
      <c r="B13" s="3" t="inlineStr">
        <is>
          <t>GTO52, MO</t>
        </is>
      </c>
      <c r="C13" s="3" t="inlineStr">
        <is>
          <t>—</t>
        </is>
      </c>
    </row>
    <row r="14">
      <c r="A14" s="3" t="inlineStr">
        <is>
          <t>4 สี (CMYK)</t>
        </is>
      </c>
      <c r="B14" s="3" t="inlineStr">
        <is>
          <t>GTO52, MO, SM74, XL106</t>
        </is>
      </c>
      <c r="C14" s="3" t="inlineStr">
        <is>
          <t>—</t>
        </is>
      </c>
    </row>
    <row r="15">
      <c r="A15" s="3" t="inlineStr">
        <is>
          <t>5+ สี + Pantone/Coating</t>
        </is>
      </c>
      <c r="B15" s="3" t="inlineStr">
        <is>
          <t>GTO52, MO, SM74</t>
        </is>
      </c>
      <c r="C15" s="3" t="inlineStr">
        <is>
          <t>5+ unit</t>
        </is>
      </c>
    </row>
    <row r="16">
      <c r="A16" s="3" t="inlineStr">
        <is>
          <t>พิมพ์ 2 ด้านรอบเดียว</t>
        </is>
      </c>
      <c r="B16" s="3" t="inlineStr">
        <is>
          <t>MOVP, SM74-2P, XL106-2P</t>
        </is>
      </c>
      <c r="C16" s="3" t="inlineStr">
        <is>
          <t>Perfector</t>
        </is>
      </c>
    </row>
    <row r="19">
      <c r="A19" s="2" t="inlineStr">
        <is>
          <t>3. แนะนำเครื่องตามขนาดกระดาษ</t>
        </is>
      </c>
    </row>
    <row r="20">
      <c r="A20" s="2" t="inlineStr">
        <is>
          <t>กระดาษ</t>
        </is>
      </c>
      <c r="B20" s="2" t="inlineStr">
        <is>
          <t>เครื่องที่รองรับ</t>
        </is>
      </c>
      <c r="C20" s="2" t="inlineStr">
        <is>
          <t>หมายเหตุ</t>
        </is>
      </c>
    </row>
    <row r="21">
      <c r="A21" s="3" t="inlineStr">
        <is>
          <t>≤ 36×52 ซม. (A3+)</t>
        </is>
      </c>
      <c r="B21" s="3" t="inlineStr">
        <is>
          <t>GTO 46, GTO 52, SM52</t>
        </is>
      </c>
      <c r="C21" s="3" t="inlineStr">
        <is>
          <t>งานเล็ก ปริมาณน้อย</t>
        </is>
      </c>
    </row>
    <row r="22">
      <c r="A22" s="3" t="inlineStr">
        <is>
          <t>≤ 48×65 ซม.</t>
        </is>
      </c>
      <c r="B22" s="3" t="inlineStr">
        <is>
          <t>MO / MOVP</t>
        </is>
      </c>
      <c r="C22" s="3" t="inlineStr">
        <is>
          <t>B2 นิยมในไทย (ตัด 4)</t>
        </is>
      </c>
    </row>
    <row r="23">
      <c r="A23" s="3" t="inlineStr">
        <is>
          <t>≤ 52×74 ซม.</t>
        </is>
      </c>
      <c r="B23" s="3" t="inlineStr">
        <is>
          <t>SX52</t>
        </is>
      </c>
      <c r="C23" s="3" t="inlineStr">
        <is>
          <t>—</t>
        </is>
      </c>
    </row>
    <row r="24">
      <c r="A24" s="3" t="inlineStr">
        <is>
          <t>24"×35" หรือ 25"×36"</t>
        </is>
      </c>
      <c r="B24" s="3" t="inlineStr">
        <is>
          <t>SM74 / CD102 / XL106</t>
        </is>
      </c>
      <c r="C24" s="3" t="inlineStr">
        <is>
          <t>เหมาะงาน A4 ไม่เสียเศษ</t>
        </is>
      </c>
    </row>
    <row r="25">
      <c r="A25" s="3" t="inlineStr">
        <is>
          <t>≤ 53×74 ซม.</t>
        </is>
      </c>
      <c r="B25" s="3" t="inlineStr">
        <is>
          <t>SM74 / SX74</t>
        </is>
      </c>
      <c r="C25" s="3" t="inlineStr">
        <is>
          <t>B2+ สมรรถนะสูง</t>
        </is>
      </c>
    </row>
    <row r="26">
      <c r="A26" s="3" t="inlineStr">
        <is>
          <t>≤ 53×75 ซม.</t>
        </is>
      </c>
      <c r="B26" s="3" t="inlineStr">
        <is>
          <t>XL75</t>
        </is>
      </c>
      <c r="C26" s="3" t="inlineStr">
        <is>
          <t>B2+ XL series</t>
        </is>
      </c>
    </row>
    <row r="27">
      <c r="A27" s="3" t="inlineStr">
        <is>
          <t>≤ 72×102 ซม.</t>
        </is>
      </c>
      <c r="B27" s="3" t="inlineStr">
        <is>
          <t>CD102 / SX102</t>
        </is>
      </c>
      <c r="C27" s="3" t="inlineStr">
        <is>
          <t>B1</t>
        </is>
      </c>
    </row>
    <row r="28">
      <c r="A28" s="3" t="inlineStr">
        <is>
          <t>≤ 75×106 ซม.</t>
        </is>
      </c>
      <c r="B28" s="3" t="inlineStr">
        <is>
          <t>XL106 / Komori S40</t>
        </is>
      </c>
      <c r="C28" s="3" t="inlineStr">
        <is>
          <t>B1 สมรรถนะสูงสุด</t>
        </is>
      </c>
    </row>
    <row r="30">
      <c r="A30" s="13" t="inlineStr">
        <is>
          <t>⚠️ งาน A4 ห้ามใช้กระดาษ 31×43 (เสียเศษมาก) — ใช้ 24×35 หรือ 25×36 แทน</t>
        </is>
      </c>
    </row>
  </sheetData>
  <mergeCells count="5">
    <mergeCell ref="A19:C19"/>
    <mergeCell ref="A11:C11"/>
    <mergeCell ref="A1:C1"/>
    <mergeCell ref="A3:C3"/>
    <mergeCell ref="A30:C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2026-05-31T16:27:17Z</dcterms:created>
  <dcterms:modified xsi:type="dcterms:W3CDTF">2026-05-31T16:27:17Z</dcterms:modified>
</cp:coreProperties>
</file>