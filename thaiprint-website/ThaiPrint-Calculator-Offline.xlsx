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Offset" sheetId="2" state="visible" r:id="rId2"/>
    <sheet name="Inkj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฿#,##0.00"/>
    <numFmt numFmtId="166" formatCode="฿#,##0.0000"/>
  </numFmts>
  <fonts count="6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sz val="13"/>
    </font>
    <font>
      <name val="TH Sarabun New"/>
      <color rgb="00808080"/>
      <sz val="11"/>
    </font>
    <font>
      <name val="TH Sarabun New"/>
      <b val="1"/>
      <color rgb="00C0504D"/>
      <sz val="2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1" pivotButton="0" quotePrefix="0" xfId="0"/>
    <xf numFmtId="0" fontId="2" fillId="0" borderId="1" pivotButton="0" quotePrefix="0" xfId="0"/>
    <xf numFmtId="0" fontId="2" fillId="3" borderId="1" pivotButton="0" quotePrefix="0" xfId="0"/>
    <xf numFmtId="2" fontId="2" fillId="3" borderId="1" pivotButton="0" quotePrefix="0" xfId="0"/>
    <xf numFmtId="164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4" fontId="2" fillId="0" borderId="1" pivotButton="0" quotePrefix="0" xfId="0"/>
    <xf numFmtId="4" fontId="3" fillId="6" borderId="1" pivotButton="0" quotePrefix="0" xfId="0"/>
    <xf numFmtId="165" fontId="5" fillId="6" borderId="0" pivotButton="0" quotePrefix="0" xfId="0"/>
    <xf numFmtId="166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3" customWidth="1" min="4" max="4"/>
    <col width="16" customWidth="1" min="5" max="5"/>
  </cols>
  <sheetData>
    <row r="1">
      <c r="A1" s="1" t="inlineStr">
        <is>
          <t>ตารางราคา (แก้ไขได้ — ช่องเหลืองคือค่าที่ปรับได้)</t>
        </is>
      </c>
    </row>
    <row r="3">
      <c r="A3" s="2" t="inlineStr">
        <is>
          <t>Markup กระดาษ</t>
        </is>
      </c>
      <c r="B3" s="3" t="n">
        <v>1.2</v>
      </c>
    </row>
    <row r="4">
      <c r="A4" s="2" t="inlineStr">
        <is>
          <t>เผื่อเสีย/ด้าน (ใบพิมพ์)</t>
        </is>
      </c>
      <c r="B4" s="3" t="n">
        <v>300</v>
      </c>
    </row>
    <row r="5">
      <c r="A5" s="2" t="inlineStr">
        <is>
          <t>ค่าเพลท ตัด4 (บ./สี)</t>
        </is>
      </c>
      <c r="B5" s="3" t="n">
        <v>300</v>
      </c>
    </row>
    <row r="6">
      <c r="A6" s="2" t="inlineStr">
        <is>
          <t>ค่าเพลท ตัด2 (บ./สี)</t>
        </is>
      </c>
      <c r="B6" s="3" t="n">
        <v>600</v>
      </c>
    </row>
    <row r="9">
      <c r="A9" s="4" t="inlineStr">
        <is>
          <t>เรตค่าพิมพ์ (บ./สี)</t>
        </is>
      </c>
    </row>
    <row r="10">
      <c r="A10" s="5" t="inlineStr">
        <is>
          <t>คีย์</t>
        </is>
      </c>
      <c r="B10" s="5" t="inlineStr">
        <is>
          <t>เหมา/สี</t>
        </is>
      </c>
      <c r="C10" s="5" t="inlineStr">
        <is>
          <t>ช่วงเหมา (ใบ)</t>
        </is>
      </c>
      <c r="D10" s="5" t="inlineStr">
        <is>
          <t>เกิน (บ./ใบ)</t>
        </is>
      </c>
    </row>
    <row r="11">
      <c r="A11" s="6" t="inlineStr">
        <is>
          <t>cut4_conventional</t>
        </is>
      </c>
      <c r="B11" s="7" t="n">
        <v>900</v>
      </c>
      <c r="C11" s="7" t="n">
        <v>10000</v>
      </c>
      <c r="D11" s="8" t="n">
        <v>0.1</v>
      </c>
    </row>
    <row r="12">
      <c r="A12" s="6" t="inlineStr">
        <is>
          <t>cut4_uv</t>
        </is>
      </c>
      <c r="B12" s="7" t="n">
        <v>1500</v>
      </c>
      <c r="C12" s="7" t="n">
        <v>1000</v>
      </c>
      <c r="D12" s="8" t="n">
        <v>1</v>
      </c>
    </row>
    <row r="13">
      <c r="A13" s="6" t="inlineStr">
        <is>
          <t>cut2_conventional</t>
        </is>
      </c>
      <c r="B13" s="7" t="n">
        <v>1200</v>
      </c>
      <c r="C13" s="7" t="n">
        <v>10000</v>
      </c>
      <c r="D13" s="8" t="n">
        <v>0.2</v>
      </c>
    </row>
    <row r="14">
      <c r="A14" s="6" t="inlineStr">
        <is>
          <t>cut2_uv</t>
        </is>
      </c>
      <c r="B14" s="7" t="n">
        <v>2000</v>
      </c>
      <c r="C14" s="7" t="n">
        <v>10000</v>
      </c>
      <c r="D14" s="8" t="n">
        <v>1.5</v>
      </c>
    </row>
    <row r="17">
      <c r="A17" s="4" t="inlineStr">
        <is>
          <t>วัสดุ (กระดาษ = คิดตามแกรม×บ./กก.; สติ๊กเกอร์ = บ./ตร.ซม. รวม markup แล้ว)</t>
        </is>
      </c>
    </row>
    <row r="18">
      <c r="A18" s="5" t="inlineStr">
        <is>
          <t>ชื่อวัสดุ</t>
        </is>
      </c>
      <c r="B18" s="5" t="inlineStr">
        <is>
          <t>ชนิด</t>
        </is>
      </c>
      <c r="C18" s="5" t="inlineStr">
        <is>
          <t>บ./กก.</t>
        </is>
      </c>
      <c r="D18" s="5" t="inlineStr">
        <is>
          <t>บ./ตร.ซม.</t>
        </is>
      </c>
      <c r="E18" s="5" t="inlineStr">
        <is>
          <t>หมึก</t>
        </is>
      </c>
    </row>
    <row r="19">
      <c r="A19" s="6" t="inlineStr">
        <is>
          <t>อาร์ตมัน</t>
        </is>
      </c>
      <c r="B19" s="6" t="inlineStr">
        <is>
          <t>paper</t>
        </is>
      </c>
      <c r="C19" s="7" t="n">
        <v>32</v>
      </c>
      <c r="D19" s="9" t="inlineStr"/>
      <c r="E19" s="6" t="inlineStr">
        <is>
          <t>conventional</t>
        </is>
      </c>
    </row>
    <row r="20">
      <c r="A20" s="6" t="inlineStr">
        <is>
          <t>อาร์ตด้าน</t>
        </is>
      </c>
      <c r="B20" s="6" t="inlineStr">
        <is>
          <t>paper</t>
        </is>
      </c>
      <c r="C20" s="7" t="n">
        <v>32</v>
      </c>
      <c r="D20" s="9" t="inlineStr"/>
      <c r="E20" s="6" t="inlineStr">
        <is>
          <t>conventional</t>
        </is>
      </c>
    </row>
    <row r="21">
      <c r="A21" s="6" t="inlineStr">
        <is>
          <t>อาร์ตการ์ด 2 หน้า</t>
        </is>
      </c>
      <c r="B21" s="6" t="inlineStr">
        <is>
          <t>paper</t>
        </is>
      </c>
      <c r="C21" s="7" t="n">
        <v>34</v>
      </c>
      <c r="D21" s="9" t="inlineStr"/>
      <c r="E21" s="6" t="inlineStr">
        <is>
          <t>conventional</t>
        </is>
      </c>
    </row>
    <row r="22">
      <c r="A22" s="6" t="inlineStr">
        <is>
          <t>อาร์ตการ์ด 1 หน้า (ไอวอรี่)</t>
        </is>
      </c>
      <c r="B22" s="6" t="inlineStr">
        <is>
          <t>paper</t>
        </is>
      </c>
      <c r="C22" s="7" t="n">
        <v>32</v>
      </c>
      <c r="D22" s="9" t="inlineStr"/>
      <c r="E22" s="6" t="inlineStr">
        <is>
          <t>conventional</t>
        </is>
      </c>
    </row>
    <row r="23">
      <c r="A23" s="6" t="inlineStr">
        <is>
          <t>กระดาษการ์ดขาว</t>
        </is>
      </c>
      <c r="B23" s="6" t="inlineStr">
        <is>
          <t>paper</t>
        </is>
      </c>
      <c r="C23" s="7" t="n">
        <v>34.5</v>
      </c>
      <c r="D23" s="9" t="inlineStr"/>
      <c r="E23" s="6" t="inlineStr">
        <is>
          <t>conventional</t>
        </is>
      </c>
    </row>
    <row r="24">
      <c r="A24" s="6" t="inlineStr">
        <is>
          <t>กระดาษปอนด์</t>
        </is>
      </c>
      <c r="B24" s="6" t="inlineStr">
        <is>
          <t>paper</t>
        </is>
      </c>
      <c r="C24" s="7" t="n">
        <v>30</v>
      </c>
      <c r="D24" s="9" t="inlineStr"/>
      <c r="E24" s="6" t="inlineStr">
        <is>
          <t>conventional</t>
        </is>
      </c>
    </row>
    <row r="25">
      <c r="A25" s="6" t="inlineStr">
        <is>
          <t>กล่องแป้งหลังเทา</t>
        </is>
      </c>
      <c r="B25" s="6" t="inlineStr">
        <is>
          <t>paper</t>
        </is>
      </c>
      <c r="C25" s="7" t="n">
        <v>23</v>
      </c>
      <c r="D25" s="9" t="inlineStr"/>
      <c r="E25" s="6" t="inlineStr">
        <is>
          <t>conventional</t>
        </is>
      </c>
    </row>
    <row r="26">
      <c r="A26" s="6" t="inlineStr">
        <is>
          <t>ไวท์คราฟท์</t>
        </is>
      </c>
      <c r="B26" s="6" t="inlineStr">
        <is>
          <t>paper</t>
        </is>
      </c>
      <c r="C26" s="7" t="n">
        <v>40</v>
      </c>
      <c r="D26" s="9" t="inlineStr"/>
      <c r="E26" s="6" t="inlineStr">
        <is>
          <t>conventional</t>
        </is>
      </c>
    </row>
    <row r="27">
      <c r="A27" s="6" t="inlineStr">
        <is>
          <t>สติ๊กเกอร์กระดาษ</t>
        </is>
      </c>
      <c r="B27" s="6" t="inlineStr">
        <is>
          <t>sticker</t>
        </is>
      </c>
      <c r="C27" s="7" t="inlineStr"/>
      <c r="D27" s="9" t="n">
        <v>0.002911</v>
      </c>
      <c r="E27" s="6" t="inlineStr">
        <is>
          <t>conventional</t>
        </is>
      </c>
    </row>
    <row r="28">
      <c r="A28" s="6" t="inlineStr">
        <is>
          <t>สติ๊กเกอร์ PVC</t>
        </is>
      </c>
      <c r="B28" s="6" t="inlineStr">
        <is>
          <t>sticker</t>
        </is>
      </c>
      <c r="C28" s="7" t="inlineStr"/>
      <c r="D28" s="9" t="n">
        <v>0.004528</v>
      </c>
      <c r="E28" s="6" t="inlineStr">
        <is>
          <t>uv</t>
        </is>
      </c>
    </row>
    <row r="29">
      <c r="A29" s="6" t="inlineStr">
        <is>
          <t>สติ๊กเกอร์ PP ขาวเงา</t>
        </is>
      </c>
      <c r="B29" s="6" t="inlineStr">
        <is>
          <t>sticker</t>
        </is>
      </c>
      <c r="C29" s="7" t="inlineStr"/>
      <c r="D29" s="9" t="n">
        <v>0.00372</v>
      </c>
      <c r="E29" s="6" t="inlineStr">
        <is>
          <t>uv</t>
        </is>
      </c>
    </row>
    <row r="30">
      <c r="A30" s="6" t="inlineStr">
        <is>
          <t>สติ๊กเกอร์ PP ขาวด้าน</t>
        </is>
      </c>
      <c r="B30" s="6" t="inlineStr">
        <is>
          <t>sticker</t>
        </is>
      </c>
      <c r="C30" s="7" t="inlineStr"/>
      <c r="D30" s="9" t="n">
        <v>0.003922</v>
      </c>
      <c r="E30" s="6" t="inlineStr">
        <is>
          <t>uv</t>
        </is>
      </c>
    </row>
    <row r="31">
      <c r="A31" s="6" t="inlineStr">
        <is>
          <t>สติ๊กเกอร์ PP ขาวเงา หลังขาว</t>
        </is>
      </c>
      <c r="B31" s="6" t="inlineStr">
        <is>
          <t>sticker</t>
        </is>
      </c>
      <c r="C31" s="7" t="inlineStr"/>
      <c r="D31" s="9" t="n">
        <v>0.002385</v>
      </c>
      <c r="E31" s="6" t="inlineStr">
        <is>
          <t>uv</t>
        </is>
      </c>
    </row>
    <row r="32">
      <c r="A32" s="6" t="inlineStr">
        <is>
          <t>สติ๊กเกอร์ PP ขาวด้าน หลังขาว</t>
        </is>
      </c>
      <c r="B32" s="6" t="inlineStr">
        <is>
          <t>sticker</t>
        </is>
      </c>
      <c r="C32" s="7" t="inlineStr"/>
      <c r="D32" s="9" t="n">
        <v>0.002102</v>
      </c>
      <c r="E32" s="6" t="inlineStr">
        <is>
          <t>uv</t>
        </is>
      </c>
    </row>
    <row r="33">
      <c r="A33" s="6" t="inlineStr">
        <is>
          <t>สติ๊กเกอร์ PET</t>
        </is>
      </c>
      <c r="B33" s="6" t="inlineStr">
        <is>
          <t>sticker</t>
        </is>
      </c>
      <c r="C33" s="7" t="inlineStr"/>
      <c r="D33" s="9" t="n">
        <v>0.005175</v>
      </c>
      <c r="E33" s="6" t="inlineStr">
        <is>
          <t>uv</t>
        </is>
      </c>
    </row>
    <row r="34">
      <c r="A34" s="6" t="inlineStr">
        <is>
          <t>สติ๊กเกอร์ฟอยล์</t>
        </is>
      </c>
      <c r="B34" s="6" t="inlineStr">
        <is>
          <t>sticker</t>
        </is>
      </c>
      <c r="C34" s="7" t="inlineStr"/>
      <c r="D34" s="9" t="n">
        <v>0.007278</v>
      </c>
      <c r="E34" s="6" t="inlineStr">
        <is>
          <t>uv</t>
        </is>
      </c>
    </row>
    <row r="37">
      <c r="A37" s="4" t="inlineStr">
        <is>
          <t>อิงค์เจ็ท (บ./ตร.ม.)</t>
        </is>
      </c>
    </row>
    <row r="38">
      <c r="A38" s="10" t="inlineStr">
        <is>
          <t>ไวนิล: ช่วง(≤ตร.ม.) / 720 / 1440</t>
        </is>
      </c>
    </row>
    <row r="39">
      <c r="A39" s="3" t="n">
        <v>10</v>
      </c>
      <c r="B39" s="3" t="n">
        <v>180</v>
      </c>
      <c r="C39" s="3" t="n">
        <v>220</v>
      </c>
    </row>
    <row r="40">
      <c r="A40" s="3" t="n">
        <v>100000</v>
      </c>
      <c r="B40" s="3" t="n">
        <v>120</v>
      </c>
      <c r="C40" s="3" t="n">
        <v>150</v>
      </c>
    </row>
    <row r="41">
      <c r="A41" s="10" t="inlineStr">
        <is>
          <t>สติ๊กเกอร์ PVC ใหญ่: ช่วง / 720 / 1440</t>
        </is>
      </c>
    </row>
    <row r="42">
      <c r="A42" s="3" t="n">
        <v>10</v>
      </c>
      <c r="B42" s="3" t="n">
        <v>150</v>
      </c>
      <c r="C42" s="3" t="n">
        <v>190</v>
      </c>
    </row>
    <row r="43">
      <c r="A43" s="3" t="n">
        <v>100000</v>
      </c>
      <c r="B43" s="3" t="n">
        <v>110</v>
      </c>
      <c r="C43" s="3" t="n">
        <v>150</v>
      </c>
    </row>
    <row r="44">
      <c r="A44" s="10" t="inlineStr">
        <is>
          <t>วัสดุอื่น: ชื่อ / ปกติ / ด่วน</t>
        </is>
      </c>
    </row>
    <row r="45">
      <c r="A45" s="2" t="inlineStr">
        <is>
          <t>โฟโต้เปเปอร์</t>
        </is>
      </c>
      <c r="B45" s="3" t="n">
        <v>250</v>
      </c>
      <c r="C45" s="3" t="n">
        <v>350</v>
      </c>
    </row>
    <row r="46">
      <c r="A46" s="2" t="inlineStr">
        <is>
          <t>ผ้าแคนวาส</t>
        </is>
      </c>
      <c r="B46" s="3" t="n">
        <v>400</v>
      </c>
      <c r="C46" s="3" t="n">
        <v>550</v>
      </c>
    </row>
    <row r="47">
      <c r="A47" s="2" t="inlineStr">
        <is>
          <t>ผ้าป้าย/Backdrop</t>
        </is>
      </c>
      <c r="B47" s="3" t="n">
        <v>300</v>
      </c>
      <c r="C47" s="3" t="n">
        <v>420</v>
      </c>
    </row>
  </sheetData>
  <mergeCells count="4">
    <mergeCell ref="A37:D37"/>
    <mergeCell ref="A1:E1"/>
    <mergeCell ref="A9:D9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คำนวณราคางานพิมพ์ Offset</t>
        </is>
      </c>
    </row>
    <row r="2">
      <c r="A2" s="10" t="inlineStr">
        <is>
          <t>กรอกช่องเหลือง → ระบบเลือกเครื่องถูกกว่าให้ (ตัด4/ตัด2)</t>
        </is>
      </c>
    </row>
    <row r="4">
      <c r="A4" s="11" t="inlineStr">
        <is>
          <t>วัสดุ</t>
        </is>
      </c>
      <c r="B4" s="7" t="inlineStr">
        <is>
          <t>สติ๊กเกอร์ PVC</t>
        </is>
      </c>
    </row>
    <row r="5">
      <c r="A5" s="11" t="inlineStr">
        <is>
          <t>แกรม (เฉพาะกระดาษ)</t>
        </is>
      </c>
      <c r="B5" s="7" t="n">
        <v>128</v>
      </c>
    </row>
    <row r="6">
      <c r="A6" s="11" t="inlineStr">
        <is>
          <t>กว้าง (ซม.)</t>
        </is>
      </c>
      <c r="B6" s="7" t="n">
        <v>10</v>
      </c>
    </row>
    <row r="7">
      <c r="A7" s="11" t="inlineStr">
        <is>
          <t>สูง (ซม.)</t>
        </is>
      </c>
      <c r="B7" s="7" t="n">
        <v>10</v>
      </c>
    </row>
    <row r="8">
      <c r="A8" s="11" t="inlineStr">
        <is>
          <t>สีด้านหน้า</t>
        </is>
      </c>
      <c r="B8" s="7" t="n">
        <v>4</v>
      </c>
    </row>
    <row r="9">
      <c r="A9" s="11" t="inlineStr">
        <is>
          <t>สีด้านหลัง (0 = หน้าเดียว)</t>
        </is>
      </c>
      <c r="B9" s="7" t="n">
        <v>0</v>
      </c>
    </row>
    <row r="10">
      <c r="A10" s="11" t="inlineStr">
        <is>
          <t>วิธีพิมพ์ 2 ด้าน</t>
        </is>
      </c>
      <c r="B10" s="7" t="inlineStr">
        <is>
          <t>กลับหน้าในตัว</t>
        </is>
      </c>
    </row>
    <row r="11">
      <c r="A11" s="11" t="inlineStr">
        <is>
          <t>จำนวน (ชิ้น)</t>
        </is>
      </c>
      <c r="B11" s="7" t="n">
        <v>10000</v>
      </c>
    </row>
    <row r="12">
      <c r="A12" s="11" t="inlineStr">
        <is>
          <t>ค่าตกแต่ง/หลังพิมพ์ เพิ่ม (บาท)</t>
        </is>
      </c>
      <c r="B12" s="7" t="n">
        <v>0</v>
      </c>
    </row>
    <row r="14">
      <c r="A14" s="2" t="inlineStr">
        <is>
          <t>ชนิดวัสดุ</t>
        </is>
      </c>
      <c r="B14" s="2">
        <f>VLOOKUP(B4,Prices!$A$19:$E$34,2,FALSE)</f>
        <v/>
      </c>
    </row>
    <row r="15">
      <c r="A15" s="2" t="inlineStr">
        <is>
          <t>หมึก</t>
        </is>
      </c>
      <c r="B15" s="2">
        <f>IF(B14="sticker",VLOOKUP(B4,Prices!$A$19:$E$34,5,FALSE),"conventional")</f>
        <v/>
      </c>
    </row>
    <row r="17">
      <c r="D17" s="4" t="inlineStr">
        <is>
          <t>รายละเอียด</t>
        </is>
      </c>
      <c r="E17" s="4" t="inlineStr">
        <is>
          <t>ตัด 4 (MO 65×48)</t>
        </is>
      </c>
      <c r="F17" s="4" t="inlineStr">
        <is>
          <t>ตัด 2 (SM74 74×53)</t>
        </is>
      </c>
    </row>
    <row r="18">
      <c r="D18" s="6" t="inlineStr">
        <is>
          <t>n-up (ชิ้น/ใบ)</t>
        </is>
      </c>
      <c r="E18" s="6">
        <f>MAX(FLOOR((65-1.2)/($B$6+0.6),1)*FLOOR((48-0.7)/($B$7+0.6),1),FLOOR((65-1.2)/($B$7+0.6),1)*FLOOR((48-0.7)/($B$6+0.6),1))</f>
        <v/>
      </c>
      <c r="F18" s="6">
        <f>MAX(FLOOR((74-1.2)/($B$6+0.6),1)*FLOOR((53-0.7)/($B$7+0.6),1),FLOOR((74-1.2)/($B$7+0.6),1)*FLOOR((53-0.7)/($B$6+0.6),1))</f>
        <v/>
      </c>
    </row>
    <row r="19">
      <c r="D19" s="6" t="inlineStr">
        <is>
          <t>จำนวนสี (เพลท)</t>
        </is>
      </c>
      <c r="E19" s="6">
        <f>IF(B10="Sheetwise",$B$8+$B$9,IF($B$9=0,$B$8,IF(B10="กลับหน้าในตัว",MAX($B$8,$B$9),$B$8+$B$9)))</f>
        <v/>
      </c>
      <c r="F19" s="6">
        <f>IF(B10="Sheetwise",$B$8+$B$9,IF($B$9=0,$B$8,IF(B10="กลับหน้าในตัว",MAX($B$8,$B$9),$B$8+$B$9)))</f>
        <v/>
      </c>
    </row>
    <row r="20">
      <c r="D20" s="6" t="inlineStr">
        <is>
          <t>ด้านพิมพ์</t>
        </is>
      </c>
      <c r="E20" s="6">
        <f>IF($B$9=0,1,2)</f>
        <v/>
      </c>
      <c r="F20" s="6">
        <f>IF($B$9=0,1,2)</f>
        <v/>
      </c>
    </row>
    <row r="21">
      <c r="D21" s="6" t="inlineStr">
        <is>
          <t>ชิ้นสำเร็จ/ใบ</t>
        </is>
      </c>
      <c r="E21" s="6">
        <f>IF(AND($B$9&gt;0,$B$10="กลับหน้าในตัว"),FLOOR(E18/2,1),E18)</f>
        <v/>
      </c>
      <c r="F21" s="6">
        <f>IF(AND($B$9&gt;0,$B$10="กลับหน้าในตัว"),FLOOR(F18/2,1),F18)</f>
        <v/>
      </c>
    </row>
    <row r="22">
      <c r="D22" s="6" t="inlineStr">
        <is>
          <t>ใบพิมพ์ขั้นต่ำ</t>
        </is>
      </c>
      <c r="E22" s="6">
        <f>CEILING($B$11/E21,1)</f>
        <v/>
      </c>
      <c r="F22" s="6">
        <f>CEILING($B$11/F21,1)</f>
        <v/>
      </c>
    </row>
    <row r="23">
      <c r="D23" s="6" t="inlineStr">
        <is>
          <t>เผื่อเสีย (ใบ)</t>
        </is>
      </c>
      <c r="E23" s="6">
        <f>Prices!$B$4*E20</f>
        <v/>
      </c>
      <c r="F23" s="6">
        <f>Prices!$B$4*F20</f>
        <v/>
      </c>
    </row>
    <row r="24">
      <c r="D24" s="6" t="inlineStr">
        <is>
          <t>ใบพิมพ์รวม</t>
        </is>
      </c>
      <c r="E24" s="6">
        <f>E22+E23</f>
        <v/>
      </c>
      <c r="F24" s="6">
        <f>F22+F23</f>
        <v/>
      </c>
    </row>
    <row r="25">
      <c r="D25" s="6" t="inlineStr">
        <is>
          <t>ค่าเพลท</t>
        </is>
      </c>
      <c r="E25" s="12">
        <f>$B$5*E19</f>
        <v/>
      </c>
      <c r="F25" s="12">
        <f>$B$6*F19</f>
        <v/>
      </c>
    </row>
    <row r="26">
      <c r="D26" s="6" t="inlineStr">
        <is>
          <t>ค่าพิมพ์</t>
        </is>
      </c>
      <c r="E26" s="12">
        <f>(INDEX(Prices!$B$11:$B$14,MATCH("cut4_"&amp;$B$15,Prices!$A$11:$A$14,0))+IF(E24&gt;INDEX(Prices!$C$11:$C$14,MATCH("cut4_"&amp;$B$15,Prices!$A$11:$A$14,0)),(E24-INDEX(Prices!$C$11:$C$14,MATCH("cut4_"&amp;$B$15,Prices!$A$11:$A$14,0)))*INDEX(Prices!$D$11:$D$14,MATCH("cut4_"&amp;$B$15,Prices!$A$11:$A$14,0)),0))*E19</f>
        <v/>
      </c>
      <c r="F26" s="12">
        <f>(INDEX(Prices!$B$11:$B$14,MATCH("cut2_"&amp;$B$15,Prices!$A$11:$A$14,0))+IF(F24&gt;INDEX(Prices!$C$11:$C$14,MATCH("cut2_"&amp;$B$15,Prices!$A$11:$A$14,0)),(F24-INDEX(Prices!$C$11:$C$14,MATCH("cut2_"&amp;$B$15,Prices!$A$11:$A$14,0)))*INDEX(Prices!$D$11:$D$14,MATCH("cut2_"&amp;$B$15,Prices!$A$11:$A$14,0)),0))*F19</f>
        <v/>
      </c>
    </row>
    <row r="27">
      <c r="D27" s="6" t="inlineStr">
        <is>
          <t>ค่ากระดาษ/วัสดุ</t>
        </is>
      </c>
      <c r="E27" s="12">
        <f>IF($B$14="paper",(65*48)*$B$5*VLOOKUP($B$4,Prices!$A$19:$E$34,3,FALSE)/10000000*Prices!$B$3*E24,VLOOKUP($B$4,Prices!$A$19:$E$34,4,FALSE)*($B$6*$B$7)*($B$11+E23*E21))</f>
        <v/>
      </c>
      <c r="F27" s="12">
        <f>IF($B$14="paper",(74*53)*$B$5*VLOOKUP($B$4,Prices!$A$19:$E$34,3,FALSE)/10000000*Prices!$B$3*F24,VLOOKUP($B$4,Prices!$A$19:$E$34,4,FALSE)*($B$6*$B$7)*($B$11+F23*F21))</f>
        <v/>
      </c>
    </row>
    <row r="28">
      <c r="D28" s="6" t="inlineStr">
        <is>
          <t>ค่าตกแต่งเพิ่ม</t>
        </is>
      </c>
      <c r="E28" s="12">
        <f>$B$12</f>
        <v/>
      </c>
      <c r="F28" s="12">
        <f>$B$12</f>
        <v/>
      </c>
    </row>
    <row r="29">
      <c r="D29" s="6" t="inlineStr">
        <is>
          <t>รวม (บาท)</t>
        </is>
      </c>
      <c r="E29" s="13">
        <f>E25+E26+E27+E28</f>
        <v/>
      </c>
      <c r="F29" s="13">
        <f>F25+F26+F27+F28</f>
        <v/>
      </c>
    </row>
    <row r="31">
      <c r="A31" s="11" t="inlineStr">
        <is>
          <t>แนะนำเครื่อง</t>
        </is>
      </c>
      <c r="B31" s="11">
        <f>IF(E29&lt;=F29,"ตัด 4 (MO)","ตัด 2 (SM74)")</f>
        <v/>
      </c>
    </row>
    <row r="32">
      <c r="A32" s="11" t="inlineStr">
        <is>
          <t>ราคารวม (ถูกกว่า)</t>
        </is>
      </c>
      <c r="B32" s="14">
        <f>MIN(E29,F29)</f>
        <v/>
      </c>
    </row>
    <row r="33">
      <c r="A33" s="2" t="inlineStr">
        <is>
          <t>ราคาต่อชิ้น</t>
        </is>
      </c>
      <c r="B33" s="15">
        <f>MIN(E29,F29)/$B$11</f>
        <v/>
      </c>
    </row>
    <row r="35">
      <c r="A35" s="10" t="inlineStr">
        <is>
          <t>หมายเหตุ: กลับหน้าในตัว (W&amp;T) ใช้เมื่อสีหน้า=สีหลัง; สีต่างกันเลือก Sheetwise</t>
        </is>
      </c>
    </row>
    <row r="36">
      <c r="A36" s="10" t="inlineStr">
        <is>
          <t>ราคาโดยประมาณ ยังไม่รวม VAT/ค่าจัดส่ง</t>
        </is>
      </c>
    </row>
  </sheetData>
  <mergeCells count="4">
    <mergeCell ref="A36:F36"/>
    <mergeCell ref="A2:F2"/>
    <mergeCell ref="A1:F1"/>
    <mergeCell ref="A35:F35"/>
  </mergeCells>
  <dataValidations count="2">
    <dataValidation sqref="B4" showDropDown="0" showInputMessage="0" showErrorMessage="0" allowBlank="0" type="list">
      <formula1>Prices!$A$19:$A$34</formula1>
    </dataValidation>
    <dataValidation sqref="B10" showDropDown="0" showInputMessage="0" showErrorMessage="0" allowBlank="0" type="list">
      <formula1>"พิมพ์หน้าเดียว,กลับหน้าในตัว,Sheetwise"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คำนวณราคางานอิงค์เจ็ท</t>
        </is>
      </c>
    </row>
    <row r="3">
      <c r="A3" s="11" t="inlineStr">
        <is>
          <t>วัสดุ</t>
        </is>
      </c>
      <c r="B3" s="7" t="inlineStr">
        <is>
          <t>ไวนิล</t>
        </is>
      </c>
    </row>
    <row r="4">
      <c r="A4" s="11" t="inlineStr">
        <is>
          <t>ความละเอียด (dpi)</t>
        </is>
      </c>
      <c r="B4" s="7" t="n">
        <v>1440</v>
      </c>
    </row>
    <row r="5">
      <c r="A5" s="11" t="inlineStr">
        <is>
          <t>กว้าง (เมตร)</t>
        </is>
      </c>
      <c r="B5" s="7" t="n">
        <v>3</v>
      </c>
    </row>
    <row r="6">
      <c r="A6" s="11" t="inlineStr">
        <is>
          <t>สูง (เมตร)</t>
        </is>
      </c>
      <c r="B6" s="7" t="n">
        <v>1</v>
      </c>
    </row>
    <row r="7">
      <c r="A7" s="11" t="inlineStr">
        <is>
          <t>จำนวน (ป้าย)</t>
        </is>
      </c>
      <c r="B7" s="7" t="n">
        <v>5</v>
      </c>
    </row>
    <row r="8">
      <c r="A8" s="11" t="inlineStr">
        <is>
          <t>งานด่วน</t>
        </is>
      </c>
      <c r="B8" s="7" t="inlineStr">
        <is>
          <t>ไม่</t>
        </is>
      </c>
    </row>
    <row r="10">
      <c r="A10" s="2" t="inlineStr">
        <is>
          <t>พื้นที่รวม (ตร.ม.)</t>
        </is>
      </c>
      <c r="B10" s="16">
        <f>B5*B6*B7</f>
        <v/>
      </c>
    </row>
    <row r="11">
      <c r="A11" s="2" t="inlineStr">
        <is>
          <t>เรต (บ./ตร.ม.)</t>
        </is>
      </c>
      <c r="B11" s="17">
        <f>IF(B3="ไวนิล",IF(B10&lt;=Prices!$A$39,IF(B4=1440,Prices!$C$39,Prices!$B$39),IF(B4=1440,Prices!$C$40,Prices!$B$40)),IF(B3="สติ๊กเกอร์ PVC ใหญ่",IF(B10&lt;=Prices!$A$42,IF(B4=1440,Prices!$C$42,Prices!$B$42),IF(B4=1440,Prices!$C$43,Prices!$B$43)),IF(B3="โฟโต้เปเปอร์",IF(B8="ใช่",Prices!$C$45,Prices!$B$45),IF(B3="ผ้าแคนวาส",IF(B8="ใช่",Prices!$C$46,Prices!$B$46),IF(B8="ใช่",Prices!$C$47,Prices!$B$47)))))</f>
        <v/>
      </c>
    </row>
    <row r="12">
      <c r="A12" s="2" t="inlineStr">
        <is>
          <t>ค่างานด่วน (เพิ่ม)</t>
        </is>
      </c>
      <c r="B12" s="17">
        <f>IF(AND(OR(B3="ไวนิล",B3="สติ๊กเกอร์ PVC ใหญ่"),B8="ใช่",B10&gt;=1,B10&lt;50),IF(B4=1440,50,20)*B10,0)</f>
        <v/>
      </c>
    </row>
    <row r="14">
      <c r="A14" s="11" t="inlineStr">
        <is>
          <t>ราคารวม (บาท)</t>
        </is>
      </c>
      <c r="B14" s="14">
        <f>B11*B10+B12</f>
        <v/>
      </c>
    </row>
    <row r="15">
      <c r="A15" s="2" t="inlineStr">
        <is>
          <t>ราคาต่อป้าย</t>
        </is>
      </c>
      <c r="B15" s="18">
        <f>(B11*B10+B12)/B7</f>
        <v/>
      </c>
    </row>
  </sheetData>
  <mergeCells count="1">
    <mergeCell ref="A1:D1"/>
  </mergeCells>
  <dataValidations count="3">
    <dataValidation sqref="B3" showDropDown="0" showInputMessage="0" showErrorMessage="0" allowBlank="0" type="list">
      <formula1>"ไวนิล,สติ๊กเกอร์ PVC ใหญ่,โฟโต้เปเปอร์,ผ้าแคนวาส,ผ้าป้าย/Backdrop"</formula1>
    </dataValidation>
    <dataValidation sqref="B4" showDropDown="0" showInputMessage="0" showErrorMessage="0" allowBlank="0" type="list">
      <formula1>"720,1440"</formula1>
    </dataValidation>
    <dataValidation sqref="B8" showDropDown="0" showInputMessage="0" showErrorMessage="0" allowBlank="0" type="list">
      <formula1>"ใช่,ไม่"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2026-07-04T12:01:24Z</dcterms:created>
  <dcterms:modified xsi:type="dcterms:W3CDTF">2026-07-04T12:01:24Z</dcterms:modified>
</cp:coreProperties>
</file>