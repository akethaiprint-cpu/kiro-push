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ffset" sheetId="2" state="visible" r:id="rId2"/>
    <sheet name="Inkjet" sheetId="3" state="visible" r:id="rId3"/>
    <sheet name="Quote" sheetId="4" state="visible" r:id="rId4"/>
  </sheets>
  <definedNames>
    <definedName name="_xlnm.Print_Area" localSheetId="3">'Quote'!$A$1:$E$27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฿#,##0.00"/>
    <numFmt numFmtId="166" formatCode="฿#,##0.0000"/>
    <numFmt numFmtId="167" formatCode="dd/mm/yyyy"/>
  </numFmts>
  <fonts count="9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sz val="13"/>
    </font>
    <font>
      <name val="TH Sarabun New"/>
      <b val="1"/>
      <sz val="13"/>
    </font>
    <font>
      <name val="TH Sarabun New"/>
      <color rgb="00808080"/>
      <sz val="11"/>
    </font>
    <font>
      <name val="TH Sarabun New"/>
      <b val="1"/>
      <color rgb="00C0504D"/>
      <sz val="20"/>
    </font>
    <font>
      <name val="TH Sarabun New"/>
      <b val="1"/>
      <color rgb="00FFFFFF"/>
      <sz val="22"/>
    </font>
    <font>
      <name val="TH Sarabun New"/>
      <b val="1"/>
      <color rgb="001F4E79"/>
      <sz val="16"/>
    </font>
    <font>
      <name val="TH Sarabun New"/>
      <b val="1"/>
      <sz val="18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3" fillId="5" borderId="1" pivotButton="0" quotePrefix="0" xfId="0"/>
    <xf numFmtId="0" fontId="2" fillId="0" borderId="1" pivotButton="0" quotePrefix="0" xfId="0"/>
    <xf numFmtId="0" fontId="2" fillId="3" borderId="1" pivotButton="0" quotePrefix="0" xfId="0"/>
    <xf numFmtId="2" fontId="2" fillId="3" borderId="1" pivotButton="0" quotePrefix="0" xfId="0"/>
    <xf numFmtId="164" fontId="2" fillId="3" borderId="1" pivotButton="0" quotePrefix="0" xfId="0"/>
    <xf numFmtId="0" fontId="4" fillId="0" borderId="0" pivotButton="0" quotePrefix="0" xfId="0"/>
    <xf numFmtId="0" fontId="3" fillId="0" borderId="0" pivotButton="0" quotePrefix="0" xfId="0"/>
    <xf numFmtId="4" fontId="2" fillId="0" borderId="1" pivotButton="0" quotePrefix="0" xfId="0"/>
    <xf numFmtId="4" fontId="3" fillId="0" borderId="1" pivotButton="0" quotePrefix="0" xfId="0"/>
    <xf numFmtId="0" fontId="0" fillId="0" borderId="4" pivotButton="0" quotePrefix="0" xfId="0"/>
    <xf numFmtId="4" fontId="2" fillId="3" borderId="1" pivotButton="0" quotePrefix="0" xfId="0"/>
    <xf numFmtId="0" fontId="3" fillId="0" borderId="1" pivotButton="0" quotePrefix="0" xfId="0"/>
    <xf numFmtId="4" fontId="2" fillId="0" borderId="0" pivotButton="0" quotePrefix="0" xfId="0"/>
    <xf numFmtId="165" fontId="5" fillId="6" borderId="0" pivotButton="0" quotePrefix="0" xfId="0"/>
    <xf numFmtId="166" fontId="2" fillId="0" borderId="0" pivotButton="0" quotePrefix="0" xfId="0"/>
    <xf numFmtId="2" fontId="2" fillId="0" borderId="0" pivotButton="0" quotePrefix="0" xfId="0"/>
    <xf numFmtId="165" fontId="2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0" applyAlignment="1" pivotButton="0" quotePrefix="0" xfId="0">
      <alignment horizontal="center" vertical="center"/>
    </xf>
    <xf numFmtId="167" fontId="2" fillId="0" borderId="1" pivotButton="0" quotePrefix="0" xfId="0"/>
    <xf numFmtId="0" fontId="0" fillId="0" borderId="5" pivotButton="0" quotePrefix="0" xfId="0"/>
    <xf numFmtId="0" fontId="3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165" fontId="5" fillId="6" borderId="1" pivotButton="0" quotePrefix="0" xfId="0"/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ตารางราคา (แก้ไขได้ — ช่องเหลืองปรับได้)</t>
        </is>
      </c>
    </row>
    <row r="3">
      <c r="A3" s="2" t="inlineStr">
        <is>
          <t>Markup กระดาษ</t>
        </is>
      </c>
      <c r="B3" s="3" t="n">
        <v>1.2</v>
      </c>
    </row>
    <row r="4">
      <c r="A4" s="2" t="inlineStr">
        <is>
          <t>เผื่อเสีย/ด้าน (ใบพิมพ์)</t>
        </is>
      </c>
      <c r="B4" s="3" t="n">
        <v>300</v>
      </c>
    </row>
    <row r="5">
      <c r="A5" s="2" t="inlineStr">
        <is>
          <t>ค่าเพลท ตัด4 (บ./สี)</t>
        </is>
      </c>
      <c r="B5" s="3" t="n">
        <v>300</v>
      </c>
    </row>
    <row r="6">
      <c r="A6" s="2" t="inlineStr">
        <is>
          <t>ค่าเพลท ตัด2 (บ./สี)</t>
        </is>
      </c>
      <c r="B6" s="3" t="n">
        <v>600</v>
      </c>
    </row>
    <row r="7">
      <c r="A7" s="2" t="inlineStr">
        <is>
          <t>VAT (%)</t>
        </is>
      </c>
      <c r="B7" s="3" t="n">
        <v>7</v>
      </c>
    </row>
    <row r="9">
      <c r="A9" s="4" t="inlineStr">
        <is>
          <t>เรตค่าพิมพ์ (บ./สี)</t>
        </is>
      </c>
    </row>
    <row r="10">
      <c r="A10" s="5" t="inlineStr">
        <is>
          <t>คีย์</t>
        </is>
      </c>
      <c r="B10" s="5" t="inlineStr">
        <is>
          <t>เหมา/สี</t>
        </is>
      </c>
      <c r="C10" s="5" t="inlineStr">
        <is>
          <t>ช่วงเหมา(ใบ)</t>
        </is>
      </c>
      <c r="D10" s="5" t="inlineStr">
        <is>
          <t>เกิน(บ./ใบ)</t>
        </is>
      </c>
    </row>
    <row r="11">
      <c r="A11" s="6" t="inlineStr">
        <is>
          <t>cut4_conventional</t>
        </is>
      </c>
      <c r="B11" s="7" t="n">
        <v>900</v>
      </c>
      <c r="C11" s="7" t="n">
        <v>10000</v>
      </c>
      <c r="D11" s="8" t="n">
        <v>0.1</v>
      </c>
    </row>
    <row r="12">
      <c r="A12" s="6" t="inlineStr">
        <is>
          <t>cut4_uv</t>
        </is>
      </c>
      <c r="B12" s="7" t="n">
        <v>1500</v>
      </c>
      <c r="C12" s="7" t="n">
        <v>1000</v>
      </c>
      <c r="D12" s="8" t="n">
        <v>1</v>
      </c>
    </row>
    <row r="13">
      <c r="A13" s="6" t="inlineStr">
        <is>
          <t>cut2_conventional</t>
        </is>
      </c>
      <c r="B13" s="7" t="n">
        <v>1200</v>
      </c>
      <c r="C13" s="7" t="n">
        <v>10000</v>
      </c>
      <c r="D13" s="8" t="n">
        <v>0.2</v>
      </c>
    </row>
    <row r="14">
      <c r="A14" s="6" t="inlineStr">
        <is>
          <t>cut2_uv</t>
        </is>
      </c>
      <c r="B14" s="7" t="n">
        <v>2000</v>
      </c>
      <c r="C14" s="7" t="n">
        <v>10000</v>
      </c>
      <c r="D14" s="8" t="n">
        <v>1.5</v>
      </c>
    </row>
    <row r="17">
      <c r="A17" s="4" t="inlineStr">
        <is>
          <t>วัสดุ</t>
        </is>
      </c>
    </row>
    <row r="18">
      <c r="A18" s="5" t="inlineStr">
        <is>
          <t>ชื่อวัสดุ</t>
        </is>
      </c>
      <c r="B18" s="5" t="inlineStr">
        <is>
          <t>ชนิด</t>
        </is>
      </c>
      <c r="C18" s="5" t="inlineStr">
        <is>
          <t>บ./กก.</t>
        </is>
      </c>
      <c r="D18" s="5" t="inlineStr">
        <is>
          <t>บ./ตร.ซม.</t>
        </is>
      </c>
      <c r="E18" s="5" t="inlineStr">
        <is>
          <t>หมึก</t>
        </is>
      </c>
    </row>
    <row r="19">
      <c r="A19" s="6" t="inlineStr">
        <is>
          <t>อาร์ตมัน</t>
        </is>
      </c>
      <c r="B19" s="6" t="inlineStr">
        <is>
          <t>paper</t>
        </is>
      </c>
      <c r="C19" s="7" t="n">
        <v>32</v>
      </c>
      <c r="D19" s="9" t="inlineStr"/>
      <c r="E19" s="6" t="inlineStr">
        <is>
          <t>conventional</t>
        </is>
      </c>
    </row>
    <row r="20">
      <c r="A20" s="6" t="inlineStr">
        <is>
          <t>อาร์ตด้าน</t>
        </is>
      </c>
      <c r="B20" s="6" t="inlineStr">
        <is>
          <t>paper</t>
        </is>
      </c>
      <c r="C20" s="7" t="n">
        <v>32</v>
      </c>
      <c r="D20" s="9" t="inlineStr"/>
      <c r="E20" s="6" t="inlineStr">
        <is>
          <t>conventional</t>
        </is>
      </c>
    </row>
    <row r="21">
      <c r="A21" s="6" t="inlineStr">
        <is>
          <t>อาร์ตการ์ด 2 หน้า</t>
        </is>
      </c>
      <c r="B21" s="6" t="inlineStr">
        <is>
          <t>paper</t>
        </is>
      </c>
      <c r="C21" s="7" t="n">
        <v>34</v>
      </c>
      <c r="D21" s="9" t="inlineStr"/>
      <c r="E21" s="6" t="inlineStr">
        <is>
          <t>conventional</t>
        </is>
      </c>
    </row>
    <row r="22">
      <c r="A22" s="6" t="inlineStr">
        <is>
          <t>อาร์ตการ์ด 1 หน้า (ไอวอรี่)</t>
        </is>
      </c>
      <c r="B22" s="6" t="inlineStr">
        <is>
          <t>paper</t>
        </is>
      </c>
      <c r="C22" s="7" t="n">
        <v>32</v>
      </c>
      <c r="D22" s="9" t="inlineStr"/>
      <c r="E22" s="6" t="inlineStr">
        <is>
          <t>conventional</t>
        </is>
      </c>
    </row>
    <row r="23">
      <c r="A23" s="6" t="inlineStr">
        <is>
          <t>กระดาษการ์ดขาว</t>
        </is>
      </c>
      <c r="B23" s="6" t="inlineStr">
        <is>
          <t>paper</t>
        </is>
      </c>
      <c r="C23" s="7" t="n">
        <v>34.5</v>
      </c>
      <c r="D23" s="9" t="inlineStr"/>
      <c r="E23" s="6" t="inlineStr">
        <is>
          <t>conventional</t>
        </is>
      </c>
    </row>
    <row r="24">
      <c r="A24" s="6" t="inlineStr">
        <is>
          <t>กระดาษปอนด์</t>
        </is>
      </c>
      <c r="B24" s="6" t="inlineStr">
        <is>
          <t>paper</t>
        </is>
      </c>
      <c r="C24" s="7" t="n">
        <v>30</v>
      </c>
      <c r="D24" s="9" t="inlineStr"/>
      <c r="E24" s="6" t="inlineStr">
        <is>
          <t>conventional</t>
        </is>
      </c>
    </row>
    <row r="25">
      <c r="A25" s="6" t="inlineStr">
        <is>
          <t>กล่องแป้งหลังเทา</t>
        </is>
      </c>
      <c r="B25" s="6" t="inlineStr">
        <is>
          <t>paper</t>
        </is>
      </c>
      <c r="C25" s="7" t="n">
        <v>23</v>
      </c>
      <c r="D25" s="9" t="inlineStr"/>
      <c r="E25" s="6" t="inlineStr">
        <is>
          <t>conventional</t>
        </is>
      </c>
    </row>
    <row r="26">
      <c r="A26" s="6" t="inlineStr">
        <is>
          <t>ไวท์คราฟท์</t>
        </is>
      </c>
      <c r="B26" s="6" t="inlineStr">
        <is>
          <t>paper</t>
        </is>
      </c>
      <c r="C26" s="7" t="n">
        <v>40</v>
      </c>
      <c r="D26" s="9" t="inlineStr"/>
      <c r="E26" s="6" t="inlineStr">
        <is>
          <t>conventional</t>
        </is>
      </c>
    </row>
    <row r="27">
      <c r="A27" s="6" t="inlineStr">
        <is>
          <t>สติ๊กเกอร์กระดาษ</t>
        </is>
      </c>
      <c r="B27" s="6" t="inlineStr">
        <is>
          <t>sticker</t>
        </is>
      </c>
      <c r="C27" s="7" t="inlineStr"/>
      <c r="D27" s="9" t="n">
        <v>0.002911</v>
      </c>
      <c r="E27" s="6" t="inlineStr">
        <is>
          <t>conventional</t>
        </is>
      </c>
    </row>
    <row r="28">
      <c r="A28" s="6" t="inlineStr">
        <is>
          <t>สติ๊กเกอร์ PVC</t>
        </is>
      </c>
      <c r="B28" s="6" t="inlineStr">
        <is>
          <t>sticker</t>
        </is>
      </c>
      <c r="C28" s="7" t="inlineStr"/>
      <c r="D28" s="9" t="n">
        <v>0.004528</v>
      </c>
      <c r="E28" s="6" t="inlineStr">
        <is>
          <t>uv</t>
        </is>
      </c>
    </row>
    <row r="29">
      <c r="A29" s="6" t="inlineStr">
        <is>
          <t>สติ๊กเกอร์ PP ขาวเงา</t>
        </is>
      </c>
      <c r="B29" s="6" t="inlineStr">
        <is>
          <t>sticker</t>
        </is>
      </c>
      <c r="C29" s="7" t="inlineStr"/>
      <c r="D29" s="9" t="n">
        <v>0.00372</v>
      </c>
      <c r="E29" s="6" t="inlineStr">
        <is>
          <t>uv</t>
        </is>
      </c>
    </row>
    <row r="30">
      <c r="A30" s="6" t="inlineStr">
        <is>
          <t>สติ๊กเกอร์ PP ขาวด้าน</t>
        </is>
      </c>
      <c r="B30" s="6" t="inlineStr">
        <is>
          <t>sticker</t>
        </is>
      </c>
      <c r="C30" s="7" t="inlineStr"/>
      <c r="D30" s="9" t="n">
        <v>0.003922</v>
      </c>
      <c r="E30" s="6" t="inlineStr">
        <is>
          <t>uv</t>
        </is>
      </c>
    </row>
    <row r="31">
      <c r="A31" s="6" t="inlineStr">
        <is>
          <t>สติ๊กเกอร์ PP ขาวเงา หลังขาว</t>
        </is>
      </c>
      <c r="B31" s="6" t="inlineStr">
        <is>
          <t>sticker</t>
        </is>
      </c>
      <c r="C31" s="7" t="inlineStr"/>
      <c r="D31" s="9" t="n">
        <v>0.002385</v>
      </c>
      <c r="E31" s="6" t="inlineStr">
        <is>
          <t>uv</t>
        </is>
      </c>
    </row>
    <row r="32">
      <c r="A32" s="6" t="inlineStr">
        <is>
          <t>สติ๊กเกอร์ PP ขาวด้าน หลังขาว</t>
        </is>
      </c>
      <c r="B32" s="6" t="inlineStr">
        <is>
          <t>sticker</t>
        </is>
      </c>
      <c r="C32" s="7" t="inlineStr"/>
      <c r="D32" s="9" t="n">
        <v>0.002102</v>
      </c>
      <c r="E32" s="6" t="inlineStr">
        <is>
          <t>uv</t>
        </is>
      </c>
    </row>
    <row r="33">
      <c r="A33" s="6" t="inlineStr">
        <is>
          <t>สติ๊กเกอร์ PET</t>
        </is>
      </c>
      <c r="B33" s="6" t="inlineStr">
        <is>
          <t>sticker</t>
        </is>
      </c>
      <c r="C33" s="7" t="inlineStr"/>
      <c r="D33" s="9" t="n">
        <v>0.005175</v>
      </c>
      <c r="E33" s="6" t="inlineStr">
        <is>
          <t>uv</t>
        </is>
      </c>
    </row>
    <row r="34">
      <c r="A34" s="6" t="inlineStr">
        <is>
          <t>สติ๊กเกอร์ฟอยล์</t>
        </is>
      </c>
      <c r="B34" s="6" t="inlineStr">
        <is>
          <t>sticker</t>
        </is>
      </c>
      <c r="C34" s="7" t="inlineStr"/>
      <c r="D34" s="9" t="n">
        <v>0.007278</v>
      </c>
      <c r="E34" s="6" t="inlineStr">
        <is>
          <t>uv</t>
        </is>
      </c>
    </row>
    <row r="37">
      <c r="A37" s="4" t="inlineStr">
        <is>
          <t>อิงค์เจ็ท — วัสดุ &amp; เรตราคา (บ./ตร.ม.)</t>
        </is>
      </c>
    </row>
    <row r="38">
      <c r="A38" s="5" t="inlineStr">
        <is>
          <t>ชื่อวัสดุ</t>
        </is>
      </c>
      <c r="B38" s="5" t="inlineStr">
        <is>
          <t>โหมด</t>
        </is>
      </c>
      <c r="C38" s="5" t="inlineStr">
        <is>
          <t>≤ตร.ม.</t>
        </is>
      </c>
      <c r="D38" s="5" t="inlineStr">
        <is>
          <t>720(เล็ก)</t>
        </is>
      </c>
      <c r="E38" s="5" t="inlineStr">
        <is>
          <t>1440(เล็ก)</t>
        </is>
      </c>
      <c r="F38" s="5" t="inlineStr">
        <is>
          <t>2880(เล็ก)</t>
        </is>
      </c>
      <c r="G38" s="5" t="inlineStr">
        <is>
          <t>720(ใหญ่)</t>
        </is>
      </c>
      <c r="H38" s="5" t="inlineStr">
        <is>
          <t>1440(ใหญ่)</t>
        </is>
      </c>
      <c r="I38" s="5" t="inlineStr">
        <is>
          <t>2880(ใหญ่)</t>
        </is>
      </c>
      <c r="J38" s="5" t="inlineStr">
        <is>
          <t>flatปกติ</t>
        </is>
      </c>
      <c r="K38" s="5" t="inlineStr">
        <is>
          <t>flatด่วน</t>
        </is>
      </c>
    </row>
    <row r="39">
      <c r="A39" s="6" t="inlineStr">
        <is>
          <t>ไวนิล Frontlit (ทึบแสง)</t>
        </is>
      </c>
      <c r="B39" s="6" t="inlineStr">
        <is>
          <t>volume</t>
        </is>
      </c>
      <c r="C39" s="7" t="n">
        <v>10</v>
      </c>
      <c r="D39" s="8" t="n">
        <v>180</v>
      </c>
      <c r="E39" s="8" t="n">
        <v>220</v>
      </c>
      <c r="F39" s="6" t="inlineStr"/>
      <c r="G39" s="8" t="n">
        <v>120</v>
      </c>
      <c r="H39" s="8" t="n">
        <v>150</v>
      </c>
      <c r="I39" s="6" t="inlineStr"/>
      <c r="J39" s="6" t="inlineStr"/>
      <c r="K39" s="6" t="inlineStr"/>
    </row>
    <row r="40">
      <c r="A40" s="6" t="inlineStr">
        <is>
          <t>ไวนิล Backlit (โปร่งแสง)</t>
        </is>
      </c>
      <c r="B40" s="6" t="inlineStr">
        <is>
          <t>quote</t>
        </is>
      </c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</row>
    <row r="41">
      <c r="A41" s="6" t="inlineStr">
        <is>
          <t>ไวนิล Blockout (กันแสงทะลุ)</t>
        </is>
      </c>
      <c r="B41" s="6" t="inlineStr">
        <is>
          <t>quote</t>
        </is>
      </c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</row>
    <row r="42">
      <c r="A42" s="6" t="inlineStr">
        <is>
          <t>สติ๊กเกอร์ PVC ขาว (Outdoor)</t>
        </is>
      </c>
      <c r="B42" s="6" t="inlineStr">
        <is>
          <t>volume</t>
        </is>
      </c>
      <c r="C42" s="7" t="n">
        <v>10</v>
      </c>
      <c r="D42" s="8" t="n">
        <v>150</v>
      </c>
      <c r="E42" s="8" t="n">
        <v>190</v>
      </c>
      <c r="F42" s="6" t="inlineStr"/>
      <c r="G42" s="8" t="n">
        <v>110</v>
      </c>
      <c r="H42" s="8" t="n">
        <v>150</v>
      </c>
      <c r="I42" s="6" t="inlineStr"/>
      <c r="J42" s="6" t="inlineStr"/>
      <c r="K42" s="6" t="inlineStr"/>
    </row>
    <row r="43">
      <c r="A43" s="6" t="inlineStr">
        <is>
          <t>สติ๊กเกอร์ PVC ใส (Clear)</t>
        </is>
      </c>
      <c r="B43" s="6" t="inlineStr">
        <is>
          <t>quote</t>
        </is>
      </c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</row>
    <row r="44">
      <c r="A44" s="6" t="inlineStr">
        <is>
          <t>สติ๊กเกอร์ Seethrough (One-Way Vision)</t>
        </is>
      </c>
      <c r="B44" s="6" t="inlineStr">
        <is>
          <t>quote</t>
        </is>
      </c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</row>
    <row r="45">
      <c r="A45" s="6" t="inlineStr">
        <is>
          <t>สติ๊กเกอร์ 3M (พรีเมียม/ถอดได้)</t>
        </is>
      </c>
      <c r="B45" s="6" t="inlineStr">
        <is>
          <t>quote</t>
        </is>
      </c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</row>
    <row r="46">
      <c r="A46" s="6" t="inlineStr">
        <is>
          <t>สติ๊กเกอร์ Backlit (ป้ายไฟ)</t>
        </is>
      </c>
      <c r="B46" s="6" t="inlineStr">
        <is>
          <t>quote</t>
        </is>
      </c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</row>
    <row r="47">
      <c r="A47" s="6" t="inlineStr">
        <is>
          <t>PP Sticker (สังเคราะห์)</t>
        </is>
      </c>
      <c r="B47" s="6" t="inlineStr">
        <is>
          <t>quote</t>
        </is>
      </c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</row>
    <row r="48">
      <c r="A48" s="6" t="inlineStr">
        <is>
          <t>โฟโต้เปเปอร์ (Glossy Photo)</t>
        </is>
      </c>
      <c r="B48" s="6" t="inlineStr">
        <is>
          <t>flat</t>
        </is>
      </c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8" t="n">
        <v>250</v>
      </c>
      <c r="K48" s="8" t="n">
        <v>350</v>
      </c>
    </row>
    <row r="49">
      <c r="A49" s="6" t="inlineStr">
        <is>
          <t>PP Paper (เคลือบ กันน้ำ)</t>
        </is>
      </c>
      <c r="B49" s="6" t="inlineStr">
        <is>
          <t>quote</t>
        </is>
      </c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</row>
    <row r="50">
      <c r="A50" s="6" t="inlineStr">
        <is>
          <t>Matte / Satin / Fine Art Paper</t>
        </is>
      </c>
      <c r="B50" s="6" t="inlineStr">
        <is>
          <t>quote</t>
        </is>
      </c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</row>
    <row r="51">
      <c r="A51" s="6" t="inlineStr">
        <is>
          <t>Blue Back Paper (หลังน้ำเงิน)</t>
        </is>
      </c>
      <c r="B51" s="6" t="inlineStr">
        <is>
          <t>quote</t>
        </is>
      </c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</row>
    <row r="52">
      <c r="A52" s="6" t="inlineStr">
        <is>
          <t>Film Backlit (ฟิล์มป้ายไฟ)</t>
        </is>
      </c>
      <c r="B52" s="6" t="inlineStr">
        <is>
          <t>quote</t>
        </is>
      </c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</row>
    <row r="53">
      <c r="A53" s="6" t="inlineStr">
        <is>
          <t>Clear / Reflective / Floor Film</t>
        </is>
      </c>
      <c r="B53" s="6" t="inlineStr">
        <is>
          <t>quote</t>
        </is>
      </c>
      <c r="C53" s="6" t="inlineStr"/>
      <c r="D53" s="6" t="inlineStr"/>
      <c r="E53" s="6" t="inlineStr"/>
      <c r="F53" s="6" t="inlineStr"/>
      <c r="G53" s="6" t="inlineStr"/>
      <c r="H53" s="6" t="inlineStr"/>
      <c r="I53" s="6" t="inlineStr"/>
      <c r="J53" s="6" t="inlineStr"/>
      <c r="K53" s="6" t="inlineStr"/>
    </row>
    <row r="54">
      <c r="A54" s="6" t="inlineStr">
        <is>
          <t>ผ้า IT / ผ้าไวนิล (Backdrop)</t>
        </is>
      </c>
      <c r="B54" s="6" t="inlineStr">
        <is>
          <t>flat</t>
        </is>
      </c>
      <c r="C54" s="6" t="inlineStr"/>
      <c r="D54" s="6" t="inlineStr"/>
      <c r="E54" s="6" t="inlineStr"/>
      <c r="F54" s="6" t="inlineStr"/>
      <c r="G54" s="6" t="inlineStr"/>
      <c r="H54" s="6" t="inlineStr"/>
      <c r="I54" s="6" t="inlineStr"/>
      <c r="J54" s="8" t="n">
        <v>300</v>
      </c>
      <c r="K54" s="8" t="n">
        <v>420</v>
      </c>
    </row>
    <row r="55">
      <c r="A55" s="6" t="inlineStr">
        <is>
          <t>ผ้า Tension / Mesh</t>
        </is>
      </c>
      <c r="B55" s="6" t="inlineStr">
        <is>
          <t>quote</t>
        </is>
      </c>
      <c r="C55" s="6" t="inlineStr"/>
      <c r="D55" s="6" t="inlineStr"/>
      <c r="E55" s="6" t="inlineStr"/>
      <c r="F55" s="6" t="inlineStr"/>
      <c r="G55" s="6" t="inlineStr"/>
      <c r="H55" s="6" t="inlineStr"/>
      <c r="I55" s="6" t="inlineStr"/>
      <c r="J55" s="6" t="inlineStr"/>
      <c r="K55" s="6" t="inlineStr"/>
    </row>
    <row r="56">
      <c r="A56" s="6" t="inlineStr">
        <is>
          <t>Dye-Sub Fabric (ซับลิเมชัน)</t>
        </is>
      </c>
      <c r="B56" s="6" t="inlineStr">
        <is>
          <t>quote</t>
        </is>
      </c>
      <c r="C56" s="6" t="inlineStr"/>
      <c r="D56" s="6" t="inlineStr"/>
      <c r="E56" s="6" t="inlineStr"/>
      <c r="F56" s="6" t="inlineStr"/>
      <c r="G56" s="6" t="inlineStr"/>
      <c r="H56" s="6" t="inlineStr"/>
      <c r="I56" s="6" t="inlineStr"/>
      <c r="J56" s="6" t="inlineStr"/>
      <c r="K56" s="6" t="inlineStr"/>
    </row>
    <row r="57">
      <c r="A57" s="6" t="inlineStr">
        <is>
          <t>ผ้าแคนวาส (Canvas)</t>
        </is>
      </c>
      <c r="B57" s="6" t="inlineStr">
        <is>
          <t>flat</t>
        </is>
      </c>
      <c r="C57" s="6" t="inlineStr"/>
      <c r="D57" s="6" t="inlineStr"/>
      <c r="E57" s="6" t="inlineStr"/>
      <c r="F57" s="6" t="inlineStr"/>
      <c r="G57" s="6" t="inlineStr"/>
      <c r="H57" s="6" t="inlineStr"/>
      <c r="I57" s="6" t="inlineStr"/>
      <c r="J57" s="8" t="n">
        <v>400</v>
      </c>
      <c r="K57" s="8" t="n">
        <v>550</v>
      </c>
    </row>
    <row r="58">
      <c r="A58" s="6" t="inlineStr">
        <is>
          <t>Wallpaper (วอลเปเปอร์)</t>
        </is>
      </c>
      <c r="B58" s="6" t="inlineStr">
        <is>
          <t>quote</t>
        </is>
      </c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</row>
    <row r="59">
      <c r="A59" s="6" t="inlineStr">
        <is>
          <t>Magnetic (แม่เหล็ก)</t>
        </is>
      </c>
      <c r="B59" s="6" t="inlineStr">
        <is>
          <t>quote</t>
        </is>
      </c>
      <c r="C59" s="6" t="inlineStr"/>
      <c r="D59" s="6" t="inlineStr"/>
      <c r="E59" s="6" t="inlineStr"/>
      <c r="F59" s="6" t="inlineStr"/>
      <c r="G59" s="6" t="inlineStr"/>
      <c r="H59" s="6" t="inlineStr"/>
      <c r="I59" s="6" t="inlineStr"/>
      <c r="J59" s="6" t="inlineStr"/>
      <c r="K59" s="6" t="inlineStr"/>
    </row>
    <row r="60">
      <c r="A60" s="6" t="inlineStr">
        <is>
          <t>Tarpaulin (ผ้าใบกันน้ำ)</t>
        </is>
      </c>
      <c r="B60" s="6" t="inlineStr">
        <is>
          <t>quote</t>
        </is>
      </c>
      <c r="C60" s="6" t="inlineStr"/>
      <c r="D60" s="6" t="inlineStr"/>
      <c r="E60" s="6" t="inlineStr"/>
      <c r="F60" s="6" t="inlineStr"/>
      <c r="G60" s="6" t="inlineStr"/>
      <c r="H60" s="6" t="inlineStr"/>
      <c r="I60" s="6" t="inlineStr"/>
      <c r="J60" s="6" t="inlineStr"/>
      <c r="K60" s="6" t="inlineStr"/>
    </row>
    <row r="61">
      <c r="A61" s="6" t="inlineStr">
        <is>
          <t>Rigid Board (พิมพ์ UV ตรง)</t>
        </is>
      </c>
      <c r="B61" s="6" t="inlineStr">
        <is>
          <t>quote</t>
        </is>
      </c>
      <c r="C61" s="6" t="inlineStr"/>
      <c r="D61" s="6" t="inlineStr"/>
      <c r="E61" s="6" t="inlineStr"/>
      <c r="F61" s="6" t="inlineStr"/>
      <c r="G61" s="6" t="inlineStr"/>
      <c r="H61" s="6" t="inlineStr"/>
      <c r="I61" s="6" t="inlineStr"/>
      <c r="J61" s="6" t="inlineStr"/>
      <c r="K61" s="6" t="inlineStr"/>
    </row>
    <row r="62">
      <c r="A62" s="6" t="inlineStr">
        <is>
          <t>Banner Mesh (ตาข่ายโฆษณา)</t>
        </is>
      </c>
      <c r="B62" s="6" t="inlineStr">
        <is>
          <t>quote</t>
        </is>
      </c>
      <c r="C62" s="6" t="inlineStr"/>
      <c r="D62" s="6" t="inlineStr"/>
      <c r="E62" s="6" t="inlineStr"/>
      <c r="F62" s="6" t="inlineStr"/>
      <c r="G62" s="6" t="inlineStr"/>
      <c r="H62" s="6" t="inlineStr"/>
      <c r="I62" s="6" t="inlineStr"/>
      <c r="J62" s="6" t="inlineStr"/>
      <c r="K62" s="6" t="inlineStr"/>
    </row>
    <row r="64">
      <c r="A64" s="4" t="inlineStr">
        <is>
          <t>งานหลังพิมพ์ (ยืนยันราคากับโรงงาน)</t>
        </is>
      </c>
    </row>
    <row r="65">
      <c r="A65" s="5" t="inlineStr">
        <is>
          <t>ชื่อ</t>
        </is>
      </c>
      <c r="B65" s="5" t="inlineStr">
        <is>
          <t>ราคา</t>
        </is>
      </c>
      <c r="C65" s="5" t="inlineStr">
        <is>
          <t>หน่วย</t>
        </is>
      </c>
      <c r="D65" s="5" t="inlineStr">
        <is>
          <t>ขั้นต่ำ(บ.)</t>
        </is>
      </c>
    </row>
    <row r="66">
      <c r="A66" s="6" t="inlineStr">
        <is>
          <t>— ไม่เลือก —</t>
        </is>
      </c>
      <c r="B66" s="8" t="n">
        <v>0</v>
      </c>
      <c r="C66" s="6" t="inlineStr">
        <is>
          <t>ชิ้น</t>
        </is>
      </c>
      <c r="D66" s="7" t="n">
        <v>0</v>
      </c>
    </row>
    <row r="67">
      <c r="A67" s="6" t="inlineStr">
        <is>
          <t>เคลือบเงา</t>
        </is>
      </c>
      <c r="B67" s="8" t="n">
        <v>1</v>
      </c>
      <c r="C67" s="6" t="inlineStr">
        <is>
          <t>ใบ</t>
        </is>
      </c>
      <c r="D67" s="7" t="n">
        <v>300</v>
      </c>
    </row>
    <row r="68">
      <c r="A68" s="6" t="inlineStr">
        <is>
          <t>เคลือบด้าน</t>
        </is>
      </c>
      <c r="B68" s="8" t="n">
        <v>1</v>
      </c>
      <c r="C68" s="6" t="inlineStr">
        <is>
          <t>ใบ</t>
        </is>
      </c>
      <c r="D68" s="7" t="n">
        <v>300</v>
      </c>
    </row>
    <row r="69">
      <c r="A69" s="6" t="inlineStr">
        <is>
          <t>Spot UV</t>
        </is>
      </c>
      <c r="B69" s="8" t="n">
        <v>2</v>
      </c>
      <c r="C69" s="6" t="inlineStr">
        <is>
          <t>ใบ</t>
        </is>
      </c>
      <c r="D69" s="7" t="n">
        <v>500</v>
      </c>
    </row>
    <row r="70">
      <c r="A70" s="6" t="inlineStr">
        <is>
          <t>พับ</t>
        </is>
      </c>
      <c r="B70" s="8" t="n">
        <v>0.1</v>
      </c>
      <c r="C70" s="6" t="inlineStr">
        <is>
          <t>ชิ้น</t>
        </is>
      </c>
      <c r="D70" s="7" t="n">
        <v>200</v>
      </c>
    </row>
    <row r="71">
      <c r="A71" s="6" t="inlineStr">
        <is>
          <t>ไดคัท</t>
        </is>
      </c>
      <c r="B71" s="8" t="n">
        <v>0.3</v>
      </c>
      <c r="C71" s="6" t="inlineStr">
        <is>
          <t>ชิ้น</t>
        </is>
      </c>
      <c r="D71" s="7" t="n">
        <v>500</v>
      </c>
    </row>
    <row r="72">
      <c r="A72" s="6" t="inlineStr">
        <is>
          <t>ปั๊มนูน</t>
        </is>
      </c>
      <c r="B72" s="8" t="n">
        <v>0.5</v>
      </c>
      <c r="C72" s="6" t="inlineStr">
        <is>
          <t>ชิ้น</t>
        </is>
      </c>
      <c r="D72" s="7" t="n">
        <v>500</v>
      </c>
    </row>
    <row r="73">
      <c r="A73" s="6" t="inlineStr">
        <is>
          <t>ปั๊มเคทอง/เงิน</t>
        </is>
      </c>
      <c r="B73" s="8" t="n">
        <v>0.6</v>
      </c>
      <c r="C73" s="6" t="inlineStr">
        <is>
          <t>ชิ้น</t>
        </is>
      </c>
      <c r="D73" s="7" t="n">
        <v>600</v>
      </c>
    </row>
    <row r="74">
      <c r="A74" s="6" t="inlineStr">
        <is>
          <t>รันนัมเบอร์</t>
        </is>
      </c>
      <c r="B74" s="8" t="n">
        <v>0.15</v>
      </c>
      <c r="C74" s="6" t="inlineStr">
        <is>
          <t>ชิ้น</t>
        </is>
      </c>
      <c r="D74" s="7" t="n">
        <v>200</v>
      </c>
    </row>
    <row r="75">
      <c r="A75" s="6" t="inlineStr">
        <is>
          <t>ปรุฉีก</t>
        </is>
      </c>
      <c r="B75" s="8" t="n">
        <v>0.1</v>
      </c>
      <c r="C75" s="6" t="inlineStr">
        <is>
          <t>ชิ้น</t>
        </is>
      </c>
      <c r="D75" s="7" t="n">
        <v>200</v>
      </c>
    </row>
  </sheetData>
  <mergeCells count="5">
    <mergeCell ref="A9:D9"/>
    <mergeCell ref="A64:D64"/>
    <mergeCell ref="A1:E1"/>
    <mergeCell ref="A17:E17"/>
    <mergeCell ref="A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>
      <c r="A1" s="1" t="inlineStr">
        <is>
          <t>คำนวณราคางานพิมพ์ Offset</t>
        </is>
      </c>
    </row>
    <row r="2">
      <c r="A2" s="10" t="inlineStr">
        <is>
          <t>กรอกช่องเหลือง → ระบบเลือกเครื่องถูกกว่า (ตัด4/ตัด2) + งานหลังพิมพ์</t>
        </is>
      </c>
    </row>
    <row r="4">
      <c r="A4" s="11" t="inlineStr">
        <is>
          <t>วัสดุ</t>
        </is>
      </c>
      <c r="B4" s="7" t="inlineStr">
        <is>
          <t>สติ๊กเกอร์ PVC</t>
        </is>
      </c>
    </row>
    <row r="5">
      <c r="A5" s="11" t="inlineStr">
        <is>
          <t>แกรม (เฉพาะกระดาษ)</t>
        </is>
      </c>
      <c r="B5" s="7" t="n">
        <v>128</v>
      </c>
    </row>
    <row r="6">
      <c r="A6" s="11" t="inlineStr">
        <is>
          <t>กว้าง (ซม.)</t>
        </is>
      </c>
      <c r="B6" s="7" t="n">
        <v>10</v>
      </c>
    </row>
    <row r="7">
      <c r="A7" s="11" t="inlineStr">
        <is>
          <t>สูง (ซม.)</t>
        </is>
      </c>
      <c r="B7" s="7" t="n">
        <v>10</v>
      </c>
    </row>
    <row r="8">
      <c r="A8" s="11" t="inlineStr">
        <is>
          <t>สีด้านหน้า</t>
        </is>
      </c>
      <c r="B8" s="7" t="n">
        <v>4</v>
      </c>
    </row>
    <row r="9">
      <c r="A9" s="11" t="inlineStr">
        <is>
          <t>สีด้านหลัง (0=หน้าเดียว)</t>
        </is>
      </c>
      <c r="B9" s="7" t="n">
        <v>0</v>
      </c>
    </row>
    <row r="10">
      <c r="A10" s="11" t="inlineStr">
        <is>
          <t>วิธีพิมพ์ 2 ด้าน</t>
        </is>
      </c>
      <c r="B10" s="7" t="inlineStr">
        <is>
          <t>กลับหน้าในตัว</t>
        </is>
      </c>
    </row>
    <row r="11">
      <c r="A11" s="11" t="inlineStr">
        <is>
          <t>จำนวน (ชิ้น)</t>
        </is>
      </c>
      <c r="B11" s="7" t="n">
        <v>10000</v>
      </c>
    </row>
    <row r="14">
      <c r="A14" s="2" t="inlineStr">
        <is>
          <t>ชนิดวัสดุ</t>
        </is>
      </c>
      <c r="B14" s="2">
        <f>VLOOKUP(B4,Prices!$A$19:$E$34,2,FALSE)</f>
        <v/>
      </c>
    </row>
    <row r="15">
      <c r="A15" s="2" t="inlineStr">
        <is>
          <t>หมึก</t>
        </is>
      </c>
      <c r="B15" s="2">
        <f>IF(B14="sticker",VLOOKUP(B4,Prices!$A$19:$E$34,5,FALSE),"conventional")</f>
        <v/>
      </c>
    </row>
    <row r="17">
      <c r="D17" s="4" t="inlineStr">
        <is>
          <t>รายละเอียด</t>
        </is>
      </c>
      <c r="E17" s="4" t="inlineStr">
        <is>
          <t>ตัด 4 (MO 65×48)</t>
        </is>
      </c>
      <c r="F17" s="4" t="inlineStr">
        <is>
          <t>ตัด 2 (SM74 74×53)</t>
        </is>
      </c>
    </row>
    <row r="18">
      <c r="D18" s="6" t="inlineStr">
        <is>
          <t>n-up (ชิ้น/ใบ)</t>
        </is>
      </c>
      <c r="E18" s="6">
        <f>MAX(FLOOR((65-1.2)/($B$6+0.6),1)*FLOOR((48-0.7)/($B$7+0.6),1),FLOOR((65-1.2)/($B$7+0.6),1)*FLOOR((48-0.7)/($B$6+0.6),1))</f>
        <v/>
      </c>
      <c r="F18" s="6">
        <f>MAX(FLOOR((74-1.2)/($B$6+0.6),1)*FLOOR((53-0.7)/($B$7+0.6),1),FLOOR((74-1.2)/($B$7+0.6),1)*FLOOR((53-0.7)/($B$6+0.6),1))</f>
        <v/>
      </c>
    </row>
    <row r="19">
      <c r="D19" s="6" t="inlineStr">
        <is>
          <t>สี (เพลท)</t>
        </is>
      </c>
      <c r="E19" s="6">
        <f>IF($B$9=0,$B$8,IF($B$10="กลับหน้าในตัว",MAX($B$8,$B$9),$B$8+$B$9))</f>
        <v/>
      </c>
      <c r="F19" s="6">
        <f>IF($B$9=0,$B$8,IF($B$10="กลับหน้าในตัว",MAX($B$8,$B$9),$B$8+$B$9))</f>
        <v/>
      </c>
    </row>
    <row r="20">
      <c r="D20" s="6" t="inlineStr">
        <is>
          <t>ด้านพิมพ์</t>
        </is>
      </c>
      <c r="E20" s="6">
        <f>IF($B$9=0,1,2)</f>
        <v/>
      </c>
      <c r="F20" s="6">
        <f>IF($B$9=0,1,2)</f>
        <v/>
      </c>
    </row>
    <row r="21">
      <c r="D21" s="6" t="inlineStr">
        <is>
          <t>ชิ้นสำเร็จ/ใบ</t>
        </is>
      </c>
      <c r="E21" s="6">
        <f>IF(AND($B$9&gt;0,$B$10="กลับหน้าในตัว"),FLOOR(E18/2,1),E18)</f>
        <v/>
      </c>
      <c r="F21" s="6">
        <f>IF(AND($B$9&gt;0,$B$10="กลับหน้าในตัว"),FLOOR(F18/2,1),F18)</f>
        <v/>
      </c>
    </row>
    <row r="22">
      <c r="D22" s="6" t="inlineStr">
        <is>
          <t>ใบขั้นต่ำ</t>
        </is>
      </c>
      <c r="E22" s="6">
        <f>CEILING($B$11/E21,1)</f>
        <v/>
      </c>
      <c r="F22" s="6">
        <f>CEILING($B$11/F21,1)</f>
        <v/>
      </c>
    </row>
    <row r="23">
      <c r="D23" s="6" t="inlineStr">
        <is>
          <t>เผื่อเสีย(ใบ)</t>
        </is>
      </c>
      <c r="E23" s="6">
        <f>Prices!$B$4*E20</f>
        <v/>
      </c>
      <c r="F23" s="6">
        <f>Prices!$B$4*F20</f>
        <v/>
      </c>
    </row>
    <row r="24">
      <c r="D24" s="6" t="inlineStr">
        <is>
          <t>ใบพิมพ์รวม</t>
        </is>
      </c>
      <c r="E24" s="6">
        <f>E22+E23</f>
        <v/>
      </c>
      <c r="F24" s="6">
        <f>F22+F23</f>
        <v/>
      </c>
    </row>
    <row r="25">
      <c r="D25" s="6" t="inlineStr">
        <is>
          <t>ค่าเพลท</t>
        </is>
      </c>
      <c r="E25" s="12">
        <f>$B$5*E19</f>
        <v/>
      </c>
      <c r="F25" s="12">
        <f>$B$6*F19</f>
        <v/>
      </c>
    </row>
    <row r="26">
      <c r="D26" s="6" t="inlineStr">
        <is>
          <t>ค่าพิมพ์</t>
        </is>
      </c>
      <c r="E26" s="12">
        <f>(INDEX(Prices!$B$11:$B$14,MATCH("cut4_"&amp;$B$15,Prices!$A$11:$A$14,0))+IF(E24&gt;INDEX(Prices!$C$11:$C$14,MATCH("cut4_"&amp;$B$15,Prices!$A$11:$A$14,0)),(E24-INDEX(Prices!$C$11:$C$14,MATCH("cut4_"&amp;$B$15,Prices!$A$11:$A$14,0)))*INDEX(Prices!$D$11:$D$14,MATCH("cut4_"&amp;$B$15,Prices!$A$11:$A$14,0)),0))*E19</f>
        <v/>
      </c>
      <c r="F26" s="12">
        <f>(INDEX(Prices!$B$11:$B$14,MATCH("cut2_"&amp;$B$15,Prices!$A$11:$A$14,0))+IF(F24&gt;INDEX(Prices!$C$11:$C$14,MATCH("cut2_"&amp;$B$15,Prices!$A$11:$A$14,0)),(F24-INDEX(Prices!$C$11:$C$14,MATCH("cut2_"&amp;$B$15,Prices!$A$11:$A$14,0)))*INDEX(Prices!$D$11:$D$14,MATCH("cut2_"&amp;$B$15,Prices!$A$11:$A$14,0)),0))*F19</f>
        <v/>
      </c>
    </row>
    <row r="27">
      <c r="D27" s="6" t="inlineStr">
        <is>
          <t>ค่ากระดาษ/วัสดุ</t>
        </is>
      </c>
      <c r="E27" s="12">
        <f>IF($B$14="paper",(65*48)*$B$5*VLOOKUP($B$4,Prices!$A$19:$E$34,3,FALSE)/10000000*Prices!$B$3*E24,VLOOKUP($B$4,Prices!$A$19:$E$34,4,FALSE)*($B$6*$B$7)*($B$11+E23*E21))</f>
        <v/>
      </c>
      <c r="F27" s="12">
        <f>IF($B$14="paper",(74*53)*$B$5*VLOOKUP($B$4,Prices!$A$19:$E$34,3,FALSE)/10000000*Prices!$B$3*F24,VLOOKUP($B$4,Prices!$A$19:$E$34,4,FALSE)*($B$6*$B$7)*($B$11+F23*F21))</f>
        <v/>
      </c>
    </row>
    <row r="28">
      <c r="D28" s="6" t="inlineStr">
        <is>
          <t>รวม (ฐาน)</t>
        </is>
      </c>
      <c r="E28" s="13">
        <f>E25+E26+E27</f>
        <v/>
      </c>
      <c r="F28" s="13">
        <f>F25+F26+F27</f>
        <v/>
      </c>
    </row>
    <row r="30">
      <c r="A30" s="2" t="inlineStr">
        <is>
          <t>ใบพิมพ์ (เครื่องที่เลือก)</t>
        </is>
      </c>
      <c r="B30" s="2">
        <f>IF(E28&lt;=F28,E24,F24)</f>
        <v/>
      </c>
    </row>
    <row r="32">
      <c r="A32" s="4" t="inlineStr">
        <is>
          <t>งานหลังพิมพ์ (เลือกได้)</t>
        </is>
      </c>
    </row>
    <row r="33">
      <c r="A33" s="5" t="inlineStr">
        <is>
          <t>รายการ</t>
        </is>
      </c>
      <c r="B33" s="5" t="inlineStr"/>
      <c r="C33" s="5" t="inlineStr">
        <is>
          <t>ราคา</t>
        </is>
      </c>
    </row>
    <row r="34">
      <c r="A34" s="6" t="inlineStr">
        <is>
          <t>งานหลังพิมพ์ 1</t>
        </is>
      </c>
      <c r="B34" s="14" t="n"/>
      <c r="C34" s="12">
        <f>IFERROR(IF($B34="— ไม่เลือก —",0,MAX(VLOOKUP($B34,Prices!$A$66:$D$75,4,FALSE),VLOOKUP($B34,Prices!$A$66:$D$75,2,FALSE)*IF(VLOOKUP($B34,Prices!$A$66:$D$75,3,FALSE)="ใบ",$B$30,$B$11))),0)</f>
        <v/>
      </c>
    </row>
    <row r="35">
      <c r="A35" s="6" t="inlineStr">
        <is>
          <t>งานหลังพิมพ์ 2</t>
        </is>
      </c>
      <c r="B35" s="14" t="n"/>
      <c r="C35" s="12">
        <f>IFERROR(IF($B35="— ไม่เลือก —",0,MAX(VLOOKUP($B35,Prices!$A$66:$D$75,4,FALSE),VLOOKUP($B35,Prices!$A$66:$D$75,2,FALSE)*IF(VLOOKUP($B35,Prices!$A$66:$D$75,3,FALSE)="ใบ",$B$30,$B$11))),0)</f>
        <v/>
      </c>
    </row>
    <row r="36">
      <c r="A36" s="6" t="inlineStr">
        <is>
          <t>งานหลังพิมพ์ 3</t>
        </is>
      </c>
      <c r="B36" s="14" t="n"/>
      <c r="C36" s="12">
        <f>IFERROR(IF($B36="— ไม่เลือก —",0,MAX(VLOOKUP($B36,Prices!$A$66:$D$75,4,FALSE),VLOOKUP($B36,Prices!$A$66:$D$75,2,FALSE)*IF(VLOOKUP($B36,Prices!$A$66:$D$75,3,FALSE)="ใบ",$B$30,$B$11))),0)</f>
        <v/>
      </c>
    </row>
    <row r="37">
      <c r="A37" s="6" t="inlineStr">
        <is>
          <t>งานหลังพิมพ์ 4</t>
        </is>
      </c>
      <c r="B37" s="14" t="n"/>
      <c r="C37" s="12">
        <f>IFERROR(IF($B37="— ไม่เลือก —",0,MAX(VLOOKUP($B37,Prices!$A$66:$D$75,4,FALSE),VLOOKUP($B37,Prices!$A$66:$D$75,2,FALSE)*IF(VLOOKUP($B37,Prices!$A$66:$D$75,3,FALSE)="ใบ",$B$30,$B$11))),0)</f>
        <v/>
      </c>
    </row>
    <row r="38">
      <c r="A38" s="6" t="inlineStr">
        <is>
          <t>อื่น ๆ เพิ่มเติม (บาท)</t>
        </is>
      </c>
      <c r="B38" s="14" t="n"/>
      <c r="C38" s="15" t="n">
        <v>0</v>
      </c>
    </row>
    <row r="39">
      <c r="A39" s="16" t="inlineStr">
        <is>
          <t>รวมงานหลังพิมพ์</t>
        </is>
      </c>
      <c r="B39" s="14" t="n"/>
      <c r="C39" s="13">
        <f>SUM(C34:C38)</f>
        <v/>
      </c>
    </row>
    <row r="41">
      <c r="A41" s="11" t="inlineStr">
        <is>
          <t>แนะนำเครื่อง</t>
        </is>
      </c>
      <c r="B41" s="11">
        <f>IF(E28&lt;=F28,"ตัด 4 (MO)","ตัด 2 (SM74)")</f>
        <v/>
      </c>
    </row>
    <row r="42">
      <c r="A42" s="2" t="inlineStr">
        <is>
          <t>ราคาฐาน (เพลท+พิมพ์+วัสดุ)</t>
        </is>
      </c>
      <c r="B42" s="17">
        <f>MIN(E28,F28)</f>
        <v/>
      </c>
    </row>
    <row r="43">
      <c r="A43" s="2" t="inlineStr">
        <is>
          <t>ค่างานหลังพิมพ์</t>
        </is>
      </c>
      <c r="B43" s="17">
        <f>C39</f>
        <v/>
      </c>
    </row>
    <row r="44">
      <c r="A44" s="11" t="inlineStr">
        <is>
          <t>ราคารวม (บาท)</t>
        </is>
      </c>
      <c r="B44" s="18">
        <f>B42+B43</f>
        <v/>
      </c>
    </row>
    <row r="45">
      <c r="A45" s="2" t="inlineStr">
        <is>
          <t>ราคาต่อชิ้น</t>
        </is>
      </c>
      <c r="B45" s="19">
        <f>(B42+B43)/B11</f>
        <v/>
      </c>
    </row>
    <row r="47">
      <c r="A47" s="10" t="inlineStr">
        <is>
          <t>หมายเหตุ: กลับหน้าในตัว (W&amp;T) ใช้เมื่อสีหน้า=สีหลัง; สีต่างกันเลือก Sheetwise · ราคายังไม่รวม VAT</t>
        </is>
      </c>
    </row>
  </sheetData>
  <mergeCells count="10">
    <mergeCell ref="A2:F2"/>
    <mergeCell ref="A38:B38"/>
    <mergeCell ref="A47:F47"/>
    <mergeCell ref="A32:C32"/>
    <mergeCell ref="A1:F1"/>
    <mergeCell ref="A37:B37"/>
    <mergeCell ref="A36:B36"/>
    <mergeCell ref="A39:B39"/>
    <mergeCell ref="A34:B34"/>
    <mergeCell ref="A35:B35"/>
  </mergeCells>
  <dataValidations count="3">
    <dataValidation sqref="B4" showDropDown="0" showInputMessage="0" showErrorMessage="0" allowBlank="0" type="list">
      <formula1>Prices!$A$19:$A$34</formula1>
    </dataValidation>
    <dataValidation sqref="B10" showDropDown="0" showInputMessage="0" showErrorMessage="0" allowBlank="0" type="list">
      <formula1>"พิมพ์หน้าเดียว,กลับหน้าในตัว,Sheetwise"</formula1>
    </dataValidation>
    <dataValidation sqref="B34 B35 B36 B37" showDropDown="0" showInputMessage="0" showErrorMessage="0" allowBlank="0" type="list">
      <formula1>Prices!$A$66:$A$75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</cols>
  <sheetData>
    <row r="1">
      <c r="A1" s="1" t="inlineStr">
        <is>
          <t>คำนวณราคางานอิงค์เจ็ท</t>
        </is>
      </c>
    </row>
    <row r="3">
      <c r="A3" s="11" t="inlineStr">
        <is>
          <t>วัสดุ</t>
        </is>
      </c>
      <c r="B3" s="7" t="inlineStr">
        <is>
          <t>ไวนิล Frontlit (ทึบแสง)</t>
        </is>
      </c>
    </row>
    <row r="4">
      <c r="A4" s="11" t="inlineStr">
        <is>
          <t>ความละเอียด (dpi)</t>
        </is>
      </c>
      <c r="B4" s="7" t="n">
        <v>1440</v>
      </c>
    </row>
    <row r="5">
      <c r="A5" s="11" t="inlineStr">
        <is>
          <t>กว้าง (เมตร)</t>
        </is>
      </c>
      <c r="B5" s="7" t="n">
        <v>3</v>
      </c>
    </row>
    <row r="6">
      <c r="A6" s="11" t="inlineStr">
        <is>
          <t>สูง (เมตร)</t>
        </is>
      </c>
      <c r="B6" s="7" t="n">
        <v>1</v>
      </c>
    </row>
    <row r="7">
      <c r="A7" s="11" t="inlineStr">
        <is>
          <t>จำนวน (ป้าย)</t>
        </is>
      </c>
      <c r="B7" s="7" t="n">
        <v>5</v>
      </c>
    </row>
    <row r="8">
      <c r="A8" s="11" t="inlineStr">
        <is>
          <t>งานด่วน</t>
        </is>
      </c>
      <c r="B8" s="7" t="inlineStr">
        <is>
          <t>ไม่</t>
        </is>
      </c>
    </row>
    <row r="10">
      <c r="A10" s="2" t="inlineStr">
        <is>
          <t>พื้นที่รวม (ตร.ม.)</t>
        </is>
      </c>
      <c r="B10" s="20">
        <f>B5*B6*B7</f>
        <v/>
      </c>
    </row>
    <row r="11">
      <c r="A11" s="2" t="inlineStr">
        <is>
          <t>โหมดราคา</t>
        </is>
      </c>
      <c r="B11" s="10">
        <f>IFERROR(VLOOKUP(B3,Prices!$A$39:$K$62,2,FALSE),"quote")</f>
        <v/>
      </c>
    </row>
    <row r="12">
      <c r="A12" s="2" t="inlineStr">
        <is>
          <t>เรต (บ./ตร.ม.)</t>
        </is>
      </c>
      <c r="B12" s="17">
        <f>IFERROR(IF(B11="quote","สอบถามราคา",IF(B11="flat",IF(B8="ใช่",VLOOKUP(B3,Prices!$A$39:$K$62,11,FALSE),VLOOKUP(B3,Prices!$A$39:$K$62,10,FALSE)),IF(B10&lt;=VLOOKUP(B3,Prices!$A$39:$K$62,3,FALSE),CHOOSE(MATCH(--B4,{720,1440,2880},0),VLOOKUP(B3,Prices!$A$39:$K$62,4,FALSE),VLOOKUP(B3,Prices!$A$39:$K$62,5,FALSE),VLOOKUP(B3,Prices!$A$39:$K$62,6,FALSE)),CHOOSE(MATCH(--B4,{720,1440,2880},0),VLOOKUP(B3,Prices!$A$39:$K$62,7,FALSE),VLOOKUP(B3,Prices!$A$39:$K$62,8,FALSE),VLOOKUP(B3,Prices!$A$39:$K$62,9,FALSE))))),"สอบถามราคา")</f>
        <v/>
      </c>
    </row>
    <row r="13">
      <c r="A13" s="2" t="inlineStr">
        <is>
          <t>ค่างานด่วน (เพิ่ม)</t>
        </is>
      </c>
      <c r="B13" s="17">
        <f>IF(AND(B11="volume",B8="ใช่",B10&gt;=1,B10&lt;50),IF(--B4&gt;=1440,50,20)*B10,0)</f>
        <v/>
      </c>
    </row>
    <row r="15">
      <c r="A15" s="11" t="inlineStr">
        <is>
          <t>ราคารวม (บาท)</t>
        </is>
      </c>
      <c r="B15" s="18">
        <f>IF(ISNUMBER(B12),B12*B10+B13,"สอบถามราคากับฝ่ายขาย 081-770-7544")</f>
        <v/>
      </c>
    </row>
    <row r="16">
      <c r="A16" s="2" t="inlineStr">
        <is>
          <t>ราคาต่อป้าย</t>
        </is>
      </c>
      <c r="B16" s="21">
        <f>IF(ISNUMBER(B12),(B12*B10+B13)/B7,"—")</f>
        <v/>
      </c>
    </row>
    <row r="18">
      <c r="A18" s="10" t="inlineStr">
        <is>
          <t>หมายเหตุ: วัสดุที่เป็น “สอบถามราคา” ยังไม่มีเรตในระบบ — โทร 081-770-7544 / LINE @thaiprint.co.th</t>
        </is>
      </c>
    </row>
  </sheetData>
  <mergeCells count="2">
    <mergeCell ref="A1:D1"/>
    <mergeCell ref="A18:D18"/>
  </mergeCells>
  <dataValidations count="3">
    <dataValidation sqref="B3" showDropDown="0" showInputMessage="0" showErrorMessage="0" allowBlank="0" type="list">
      <formula1>Prices!$A$39:$A$62</formula1>
    </dataValidation>
    <dataValidation sqref="B4" showDropDown="0" showInputMessage="0" showErrorMessage="0" allowBlank="0" type="list">
      <formula1>"720,1440,2880"</formula1>
    </dataValidation>
    <dataValidation sqref="B8" showDropDown="0" showInputMessage="0" showErrorMessage="0" allowBlank="0" type="list">
      <formula1>"ใช่,ไม่"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22" t="inlineStr">
        <is>
          <t>TP</t>
        </is>
      </c>
      <c r="B1" s="23" t="inlineStr">
        <is>
          <t>บริษัท ไทยพริ้นท์ อินเตอร์กรุ๊ป จำกัด</t>
        </is>
      </c>
    </row>
    <row r="2">
      <c r="B2" s="10" t="inlineStr">
        <is>
          <t>โรงพิมพ์ฉลากสินค้าและกล่องบรรจุภัณฑ์ · โทร 02-149-4518, 081-770-7544</t>
        </is>
      </c>
    </row>
    <row r="3">
      <c r="B3" s="10" t="inlineStr">
        <is>
          <t>89/38 หมู่ 8 ต.เสาธงหิน อ.บางใหญ่ นนทบุรี 11140 · เลขผู้เสียภาษี 0125564010433</t>
        </is>
      </c>
    </row>
    <row r="5">
      <c r="A5" s="24" t="inlineStr">
        <is>
          <t>ใบเสนอราคา / QUOTATION</t>
        </is>
      </c>
    </row>
    <row r="7">
      <c r="A7" s="2" t="inlineStr">
        <is>
          <t>เลขที่เอกสาร</t>
        </is>
      </c>
      <c r="B7" s="7">
        <f>"QT"&amp;TEXT(TODAY(),"yymmdd")&amp;"-001"</f>
        <v/>
      </c>
      <c r="D7" s="2" t="inlineStr">
        <is>
          <t>วันที่</t>
        </is>
      </c>
      <c r="E7" s="25">
        <f>TODAY()</f>
        <v/>
      </c>
    </row>
    <row r="8">
      <c r="A8" s="2" t="inlineStr">
        <is>
          <t>ลูกค้า</t>
        </is>
      </c>
      <c r="B8" s="7" t="inlineStr"/>
      <c r="C8" s="14" t="n"/>
      <c r="D8" s="2" t="inlineStr">
        <is>
          <t>โทร</t>
        </is>
      </c>
      <c r="E8" s="7" t="inlineStr"/>
    </row>
    <row r="9">
      <c r="A9" s="2" t="inlineStr">
        <is>
          <t>ชื่องาน</t>
        </is>
      </c>
      <c r="B9" s="6">
        <f>"งานพิมพ์ "&amp;Offset!B4</f>
        <v/>
      </c>
      <c r="C9" s="26" t="n"/>
      <c r="D9" s="26" t="n"/>
      <c r="E9" s="14" t="n"/>
    </row>
    <row r="11">
      <c r="A11" s="10">
        <f>CONCATENATE("วัสดุ: ",Offset!B4," | ขนาด: ",Offset!B6," × ",Offset!B7," ซม. | สี หน้า/หลัง: ",Offset!B8,"/",Offset!B9," | เครื่อง: ",Offset!B41)</f>
        <v/>
      </c>
    </row>
    <row r="13">
      <c r="A13" s="27" t="inlineStr">
        <is>
          <t>รายการ</t>
        </is>
      </c>
      <c r="B13" s="27" t="inlineStr">
        <is>
          <t>จำนวน</t>
        </is>
      </c>
      <c r="C13" s="27" t="inlineStr">
        <is>
          <t>หน่วย</t>
        </is>
      </c>
      <c r="D13" s="27" t="inlineStr">
        <is>
          <t>ราคา/หน่วย</t>
        </is>
      </c>
      <c r="E13" s="27" t="inlineStr">
        <is>
          <t>รวม (บาท)</t>
        </is>
      </c>
    </row>
    <row r="14">
      <c r="A14" s="6" t="inlineStr">
        <is>
          <t>ค่างานพิมพ์ (เพลท+พิมพ์+วัสดุ)</t>
        </is>
      </c>
      <c r="B14" s="28">
        <f>Offset!B11</f>
        <v/>
      </c>
      <c r="C14" s="28" t="inlineStr">
        <is>
          <t>ชิ้น</t>
        </is>
      </c>
      <c r="D14" s="12">
        <f>Offset!B42/Offset!B11</f>
        <v/>
      </c>
      <c r="E14" s="12">
        <f>Offset!B42</f>
        <v/>
      </c>
    </row>
    <row r="15">
      <c r="A15" s="6" t="inlineStr">
        <is>
          <t>ค่างานหลังพิมพ์</t>
        </is>
      </c>
      <c r="B15" s="6" t="inlineStr"/>
      <c r="C15" s="6" t="inlineStr"/>
      <c r="D15" s="6" t="inlineStr"/>
      <c r="E15" s="12">
        <f>Offset!B43</f>
        <v/>
      </c>
    </row>
    <row r="16">
      <c r="A16" s="6" t="inlineStr"/>
      <c r="B16" s="6" t="inlineStr"/>
      <c r="C16" s="6" t="inlineStr"/>
      <c r="D16" s="6" t="inlineStr"/>
      <c r="E16" s="6" t="inlineStr"/>
    </row>
    <row r="17">
      <c r="A17" s="6" t="inlineStr"/>
      <c r="B17" s="6" t="inlineStr"/>
      <c r="C17" s="6" t="inlineStr"/>
      <c r="D17" s="6" t="inlineStr"/>
      <c r="E17" s="6" t="inlineStr"/>
    </row>
    <row r="18">
      <c r="D18" s="29" t="inlineStr">
        <is>
          <t>รวมเป็นเงิน</t>
        </is>
      </c>
      <c r="E18" s="12">
        <f>Offset!B42+Offset!B43</f>
        <v/>
      </c>
    </row>
    <row r="19">
      <c r="D19" s="30" t="inlineStr">
        <is>
          <t>VAT (Prices!B7 %)</t>
        </is>
      </c>
      <c r="E19" s="12">
        <f>(Offset!B42+Offset!B43)*Prices!$B$7/100</f>
        <v/>
      </c>
    </row>
    <row r="20">
      <c r="D20" s="31" t="inlineStr">
        <is>
          <t>ราคารวมทั้งสิ้น</t>
        </is>
      </c>
      <c r="E20" s="32">
        <f>(Offset!B42+Offset!B43)*(1+Prices!$B$7/100)</f>
        <v/>
      </c>
    </row>
    <row r="22">
      <c r="A22" s="10" t="inlineStr">
        <is>
          <t>หมายเหตุ: ราคาประเมินเบื้องต้น ยืนราคา 15 วัน · ราคาอาจเปลี่ยนตามแบบจริง/งานตกแต่งพิเศษ</t>
        </is>
      </c>
    </row>
    <row r="25">
      <c r="B25" s="33" t="inlineStr">
        <is>
          <t>ผู้เสนอราคา</t>
        </is>
      </c>
      <c r="D25" s="33" t="inlineStr">
        <is>
          <t>ผู้อนุมัติ/ลูกค้า</t>
        </is>
      </c>
    </row>
    <row r="26">
      <c r="B26" s="33" t="inlineStr">
        <is>
          <t>__________________</t>
        </is>
      </c>
      <c r="D26" s="33" t="inlineStr">
        <is>
          <t>__________________</t>
        </is>
      </c>
    </row>
  </sheetData>
  <mergeCells count="13">
    <mergeCell ref="D25:E25"/>
    <mergeCell ref="A1:A3"/>
    <mergeCell ref="B9:E9"/>
    <mergeCell ref="B1:E1"/>
    <mergeCell ref="B25:C25"/>
    <mergeCell ref="A11:E11"/>
    <mergeCell ref="A5:E5"/>
    <mergeCell ref="B3:E3"/>
    <mergeCell ref="B2:E2"/>
    <mergeCell ref="B26:C26"/>
    <mergeCell ref="D26:E26"/>
    <mergeCell ref="B8:C8"/>
    <mergeCell ref="A22:E2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2026-07-05T01:47:59Z</dcterms:created>
  <dcterms:modified xsi:type="dcterms:W3CDTF">2026-07-05T01:47:59Z</dcterms:modified>
</cp:coreProperties>
</file>